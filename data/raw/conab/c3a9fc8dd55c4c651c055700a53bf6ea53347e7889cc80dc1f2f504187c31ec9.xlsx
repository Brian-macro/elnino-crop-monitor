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edro.salomao\Documents\2026\Boletins\12° levantamento de grãos\"/>
    </mc:Choice>
  </mc:AlternateContent>
  <bookViews>
    <workbookView xWindow="0" yWindow="0" windowWidth="21570" windowHeight="8055" tabRatio="910" firstSheet="30" activeTab="48"/>
  </bookViews>
  <sheets>
    <sheet name="Principal" sheetId="2" r:id="rId1"/>
    <sheet name="Área_Brasil" sheetId="4" r:id="rId2"/>
    <sheet name="Produtividade_Brasil" sheetId="5" r:id="rId3"/>
    <sheet name="Produção_Brasil" sheetId="3" r:id="rId4"/>
    <sheet name="Brasil total por UF" sheetId="6" r:id="rId5"/>
    <sheet name="Brasil - Total por Produto" sheetId="7" r:id="rId6"/>
    <sheet name="Algodao Total" sheetId="9" r:id="rId7"/>
    <sheet name="Algodao em Pluma" sheetId="10" r:id="rId8"/>
    <sheet name="Caroço de Algodão" sheetId="11" r:id="rId9"/>
    <sheet name="Algodão Rendimento" sheetId="12" r:id="rId10"/>
    <sheet name="Amendoim 1a" sheetId="13" r:id="rId11"/>
    <sheet name="Amendoim 2a" sheetId="14" r:id="rId12"/>
    <sheet name="Amendoim Total" sheetId="15" r:id="rId13"/>
    <sheet name="Arroz Irrigado" sheetId="16" r:id="rId14"/>
    <sheet name="Arroz Sequeiro" sheetId="17" r:id="rId15"/>
    <sheet name="Arroz Total" sheetId="18" r:id="rId16"/>
    <sheet name="Feijão 1a Cores" sheetId="19" r:id="rId17"/>
    <sheet name="Feijão 1a Preto" sheetId="20" r:id="rId18"/>
    <sheet name="Feijão 1a Caupi" sheetId="21" r:id="rId19"/>
    <sheet name="Feijão 1a Total" sheetId="22" r:id="rId20"/>
    <sheet name="Feijão 2a Cores" sheetId="23" r:id="rId21"/>
    <sheet name="Feijão 2a Preto" sheetId="24" r:id="rId22"/>
    <sheet name="Feijão 2a Caupi" sheetId="25" r:id="rId23"/>
    <sheet name="Feijão 2a Total" sheetId="26" r:id="rId24"/>
    <sheet name="Feijão 3a Cores" sheetId="27" r:id="rId25"/>
    <sheet name="Feijão 3a Preto" sheetId="28" r:id="rId26"/>
    <sheet name="Feijão 3a Caupi" sheetId="29" r:id="rId27"/>
    <sheet name="Feijão 3a Total" sheetId="30" r:id="rId28"/>
    <sheet name="Feijão Cores Total" sheetId="31" r:id="rId29"/>
    <sheet name="Feijão Preto Total" sheetId="32" r:id="rId30"/>
    <sheet name="Feijão Caupi Total" sheetId="33" r:id="rId31"/>
    <sheet name="Feijão Total" sheetId="34" r:id="rId32"/>
    <sheet name="Gergelim" sheetId="35" r:id="rId33"/>
    <sheet name="Girassol" sheetId="36" r:id="rId34"/>
    <sheet name="Mamona" sheetId="37" r:id="rId35"/>
    <sheet name="Milho 1a" sheetId="38" r:id="rId36"/>
    <sheet name="Milho 2a" sheetId="39" r:id="rId37"/>
    <sheet name="Milho 3a" sheetId="40" r:id="rId38"/>
    <sheet name="Milho Total" sheetId="41" r:id="rId39"/>
    <sheet name="Soja" sheetId="42" r:id="rId40"/>
    <sheet name="Sorgo" sheetId="43" r:id="rId41"/>
    <sheet name="Aveia" sheetId="44" r:id="rId42"/>
    <sheet name="Canola" sheetId="45" r:id="rId43"/>
    <sheet name="Centeio" sheetId="46" r:id="rId44"/>
    <sheet name="Cevada" sheetId="47" r:id="rId45"/>
    <sheet name="Trigo" sheetId="48" r:id="rId46"/>
    <sheet name="Triticale" sheetId="49" r:id="rId47"/>
    <sheet name="Suprimento" sheetId="50" r:id="rId48"/>
    <sheet name="Suprimento - Soja" sheetId="51" r:id="rId49"/>
    <sheet name="AC" sheetId="52" r:id="rId50"/>
    <sheet name="AL" sheetId="53" r:id="rId51"/>
    <sheet name="AM" sheetId="54" r:id="rId52"/>
    <sheet name="AP" sheetId="55" r:id="rId53"/>
    <sheet name="BA" sheetId="56" r:id="rId54"/>
    <sheet name="CE" sheetId="57" r:id="rId55"/>
    <sheet name="DF" sheetId="58" r:id="rId56"/>
    <sheet name="ES" sheetId="59" r:id="rId57"/>
    <sheet name="GO" sheetId="60" r:id="rId58"/>
    <sheet name="MA" sheetId="61" r:id="rId59"/>
    <sheet name="MG" sheetId="62" r:id="rId60"/>
    <sheet name="MS" sheetId="63" r:id="rId61"/>
    <sheet name="MT" sheetId="64" r:id="rId62"/>
    <sheet name="PA" sheetId="65" r:id="rId63"/>
    <sheet name="PB" sheetId="66" r:id="rId64"/>
    <sheet name="PE" sheetId="67" r:id="rId65"/>
    <sheet name="PI" sheetId="68" r:id="rId66"/>
    <sheet name="PR" sheetId="69" r:id="rId67"/>
    <sheet name="RJ" sheetId="70" r:id="rId68"/>
    <sheet name="RN" sheetId="71" r:id="rId69"/>
    <sheet name="RO" sheetId="72" r:id="rId70"/>
    <sheet name="RR" sheetId="73" r:id="rId71"/>
    <sheet name="RS" sheetId="74" r:id="rId72"/>
    <sheet name="SC" sheetId="75" r:id="rId73"/>
    <sheet name="SE" sheetId="76" r:id="rId74"/>
    <sheet name="SP" sheetId="77" r:id="rId75"/>
    <sheet name="TO" sheetId="78" r:id="rId76"/>
  </sheets>
  <externalReferences>
    <externalReference r:id="rId77"/>
  </externalReferences>
  <definedNames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_xlnm.Print_Area" localSheetId="49">AC!$A$1:$J$51</definedName>
    <definedName name="_xlnm.Print_Area" localSheetId="50">AL!$A$1:$J$51</definedName>
    <definedName name="_xlnm.Print_Area" localSheetId="7">'Algodao em Pluma'!$A$1:$J$44</definedName>
    <definedName name="_xlnm.Print_Area" localSheetId="9">'Algodão Rendimento'!$A$1:$J$45</definedName>
    <definedName name="_xlnm.Print_Area" localSheetId="6">'Algodao Total'!$A$1:$J$44</definedName>
    <definedName name="_xlnm.Print_Area" localSheetId="51">AM!$A$1:$J$51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52">AP!$A$1:$J$51</definedName>
    <definedName name="_xlnm.Print_Area" localSheetId="1">Área_Brasil!$A$1:$H$50</definedName>
    <definedName name="_xlnm.Print_Area" localSheetId="13">'Arroz Irrigado'!$A$1:$J$44</definedName>
    <definedName name="_xlnm.Print_Area" localSheetId="14">'Arroz Sequeiro'!$A$1:$J$44</definedName>
    <definedName name="_xlnm.Print_Area" localSheetId="15">'Arroz Total'!$A$1:$J$44</definedName>
    <definedName name="_xlnm.Print_Area" localSheetId="41">Aveia!$A$1:$J$44</definedName>
    <definedName name="_xlnm.Print_Area" localSheetId="53">BA!$A$1:$J$51</definedName>
    <definedName name="_xlnm.Print_Area" localSheetId="5">'Brasil - Total por Produto'!$A$1:$J$51</definedName>
    <definedName name="_xlnm.Print_Area" localSheetId="4">'Brasil total por UF'!$A$1:$J$45</definedName>
    <definedName name="_xlnm.Print_Area" localSheetId="42">Canola!$A$1:$J$44</definedName>
    <definedName name="_xlnm.Print_Area" localSheetId="8">'Caroço de Algodão'!$A$1:$J$44</definedName>
    <definedName name="_xlnm.Print_Area" localSheetId="54">CE!$A$1:$J$51</definedName>
    <definedName name="_xlnm.Print_Area" localSheetId="43">Centeio!$A$1:$J$44</definedName>
    <definedName name="_xlnm.Print_Area" localSheetId="44">Cevada!$A$1:$J$44</definedName>
    <definedName name="_xlnm.Print_Area" localSheetId="55">DF!$A$1:$J$51</definedName>
    <definedName name="_xlnm.Print_Area" localSheetId="56">ES!$A$1:$J$51</definedName>
    <definedName name="_xlnm.Print_Area" localSheetId="18">'Feijão 1a Caupi'!$A$1:$J$44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9">'Feijão 1a Total'!$A$1:$J$44</definedName>
    <definedName name="_xlnm.Print_Area" localSheetId="22">'Feijão 2a Caupi'!$A$1:$J$44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3">'Feijão 2a Total'!$A$1:$J$44</definedName>
    <definedName name="_xlnm.Print_Area" localSheetId="26">'Feijão 3a Caupi'!$A$1:$J$44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7">'Feijão 3a Total'!$A$1:$J$44</definedName>
    <definedName name="_xlnm.Print_Area" localSheetId="30">'Feijão Caupi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57">GO!$A$1:$J$51</definedName>
    <definedName name="_xlnm.Print_Area" localSheetId="58">MA!$A$1:$J$51</definedName>
    <definedName name="_xlnm.Print_Area" localSheetId="34">Mamona!$A$1:$J$44</definedName>
    <definedName name="_xlnm.Print_Area" localSheetId="59">MG!$A$1:$J$51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60">MS!$A$1:$J$51</definedName>
    <definedName name="_xlnm.Print_Area" localSheetId="61">MT!$A$1:$J$51</definedName>
    <definedName name="_xlnm.Print_Area" localSheetId="62">PA!$A$1:$J$51</definedName>
    <definedName name="_xlnm.Print_Area" localSheetId="63">PB!$A$1:$J$51</definedName>
    <definedName name="_xlnm.Print_Area" localSheetId="64">PE!$A$1:$J$51</definedName>
    <definedName name="_xlnm.Print_Area" localSheetId="65">PI!$A$1:$J$51</definedName>
    <definedName name="_xlnm.Print_Area" localSheetId="66">PR!$A$1:$J$51</definedName>
    <definedName name="_xlnm.Print_Area" localSheetId="3">Produção_Brasil!$A$1:$H$56</definedName>
    <definedName name="_xlnm.Print_Area" localSheetId="2">Produtividade_Brasil!$A$1:$H$56</definedName>
    <definedName name="_xlnm.Print_Area" localSheetId="67">RJ!$A$1:$J$51</definedName>
    <definedName name="_xlnm.Print_Area" localSheetId="68">RN!$A$1:$J$51</definedName>
    <definedName name="_xlnm.Print_Area" localSheetId="69">RO!$A$1:$J$51</definedName>
    <definedName name="_xlnm.Print_Area" localSheetId="70">RR!$A$1:$J$51</definedName>
    <definedName name="_xlnm.Print_Area" localSheetId="71">RS!$A$1:$J$51</definedName>
    <definedName name="_xlnm.Print_Area" localSheetId="72">SC!$A$1:$J$51</definedName>
    <definedName name="_xlnm.Print_Area" localSheetId="73">SE!$A$1:$J$51</definedName>
    <definedName name="_xlnm.Print_Area" localSheetId="39">Soja!$A$1:$J$44</definedName>
    <definedName name="_xlnm.Print_Area" localSheetId="40">Sorgo!$A$1:$J$44</definedName>
    <definedName name="_xlnm.Print_Area" localSheetId="74">SP!$A$1:$J$51</definedName>
    <definedName name="_xlnm.Print_Area" localSheetId="47">Suprimento!$A$1:$K$49</definedName>
    <definedName name="_xlnm.Print_Area" localSheetId="75">TO!$A$1:$J$51</definedName>
    <definedName name="_xlnm.Print_Area" localSheetId="45">Trigo!$A$1:$J$44</definedName>
    <definedName name="_xlnm.Print_Area" localSheetId="46">Triticale!$A$1:$J$44</definedName>
    <definedName name="BA_SUL">NA()</definedName>
    <definedName name="BA_SUL_1">NA()</definedName>
    <definedName name="BA_SUL_10">NA()</definedName>
    <definedName name="BA_SUL_100" localSheetId="49">#REF!</definedName>
    <definedName name="BA_SUL_100" localSheetId="50">#REF!</definedName>
    <definedName name="BA_SUL_100" localSheetId="51">#REF!</definedName>
    <definedName name="BA_SUL_100" localSheetId="52">#REF!</definedName>
    <definedName name="BA_SUL_100" localSheetId="53">#REF!</definedName>
    <definedName name="BA_SUL_100" localSheetId="54">#REF!</definedName>
    <definedName name="BA_SUL_100" localSheetId="55">#REF!</definedName>
    <definedName name="BA_SUL_100" localSheetId="56">#REF!</definedName>
    <definedName name="BA_SUL_100" localSheetId="57">#REF!</definedName>
    <definedName name="BA_SUL_100" localSheetId="58">#REF!</definedName>
    <definedName name="BA_SUL_100" localSheetId="59">#REF!</definedName>
    <definedName name="BA_SUL_100" localSheetId="60">#REF!</definedName>
    <definedName name="BA_SUL_100" localSheetId="61">#REF!</definedName>
    <definedName name="BA_SUL_100" localSheetId="62">#REF!</definedName>
    <definedName name="BA_SUL_100" localSheetId="63">#REF!</definedName>
    <definedName name="BA_SUL_100" localSheetId="64">#REF!</definedName>
    <definedName name="BA_SUL_100" localSheetId="65">#REF!</definedName>
    <definedName name="BA_SUL_100" localSheetId="66">#REF!</definedName>
    <definedName name="BA_SUL_100" localSheetId="67">#REF!</definedName>
    <definedName name="BA_SUL_100" localSheetId="68">#REF!</definedName>
    <definedName name="BA_SUL_100" localSheetId="69">#REF!</definedName>
    <definedName name="BA_SUL_100" localSheetId="70">#REF!</definedName>
    <definedName name="BA_SUL_100" localSheetId="71">#REF!</definedName>
    <definedName name="BA_SUL_100" localSheetId="72">#REF!</definedName>
    <definedName name="BA_SUL_100" localSheetId="73">#REF!</definedName>
    <definedName name="BA_SUL_100" localSheetId="74">#REF!</definedName>
    <definedName name="BA_SUL_100" localSheetId="75">#REF!</definedName>
    <definedName name="BA_SUL_100">#REF!</definedName>
    <definedName name="BA_SUL_11" localSheetId="49">#REF!</definedName>
    <definedName name="BA_SUL_11" localSheetId="50">#REF!</definedName>
    <definedName name="BA_SUL_11" localSheetId="51">#REF!</definedName>
    <definedName name="BA_SUL_11" localSheetId="52">#REF!</definedName>
    <definedName name="BA_SUL_11" localSheetId="53">#REF!</definedName>
    <definedName name="BA_SUL_11" localSheetId="54">#REF!</definedName>
    <definedName name="BA_SUL_11" localSheetId="55">#REF!</definedName>
    <definedName name="BA_SUL_11" localSheetId="56">#REF!</definedName>
    <definedName name="BA_SUL_11" localSheetId="57">#REF!</definedName>
    <definedName name="BA_SUL_11" localSheetId="58">#REF!</definedName>
    <definedName name="BA_SUL_11" localSheetId="59">#REF!</definedName>
    <definedName name="BA_SUL_11" localSheetId="60">#REF!</definedName>
    <definedName name="BA_SUL_11" localSheetId="61">#REF!</definedName>
    <definedName name="BA_SUL_11" localSheetId="62">#REF!</definedName>
    <definedName name="BA_SUL_11" localSheetId="63">#REF!</definedName>
    <definedName name="BA_SUL_11" localSheetId="64">#REF!</definedName>
    <definedName name="BA_SUL_11" localSheetId="65">#REF!</definedName>
    <definedName name="BA_SUL_11" localSheetId="66">#REF!</definedName>
    <definedName name="BA_SUL_11" localSheetId="67">#REF!</definedName>
    <definedName name="BA_SUL_11" localSheetId="68">#REF!</definedName>
    <definedName name="BA_SUL_11" localSheetId="69">#REF!</definedName>
    <definedName name="BA_SUL_11" localSheetId="70">#REF!</definedName>
    <definedName name="BA_SUL_11" localSheetId="71">#REF!</definedName>
    <definedName name="BA_SUL_11" localSheetId="72">#REF!</definedName>
    <definedName name="BA_SUL_11" localSheetId="73">#REF!</definedName>
    <definedName name="BA_SUL_11" localSheetId="74">#REF!</definedName>
    <definedName name="BA_SUL_11" localSheetId="75">#REF!</definedName>
    <definedName name="BA_SUL_11">#REF!</definedName>
    <definedName name="BA_SUL_12">NA()</definedName>
    <definedName name="BA_SUL_13">NA()</definedName>
    <definedName name="BA_SUL_14" localSheetId="49">#REF!</definedName>
    <definedName name="BA_SUL_14" localSheetId="50">#REF!</definedName>
    <definedName name="BA_SUL_14" localSheetId="51">#REF!</definedName>
    <definedName name="BA_SUL_14" localSheetId="52">#REF!</definedName>
    <definedName name="BA_SUL_14" localSheetId="53">#REF!</definedName>
    <definedName name="BA_SUL_14" localSheetId="54">#REF!</definedName>
    <definedName name="BA_SUL_14" localSheetId="55">#REF!</definedName>
    <definedName name="BA_SUL_14" localSheetId="56">#REF!</definedName>
    <definedName name="BA_SUL_14" localSheetId="57">#REF!</definedName>
    <definedName name="BA_SUL_14" localSheetId="58">#REF!</definedName>
    <definedName name="BA_SUL_14" localSheetId="59">#REF!</definedName>
    <definedName name="BA_SUL_14" localSheetId="60">#REF!</definedName>
    <definedName name="BA_SUL_14" localSheetId="61">#REF!</definedName>
    <definedName name="BA_SUL_14" localSheetId="62">#REF!</definedName>
    <definedName name="BA_SUL_14" localSheetId="63">#REF!</definedName>
    <definedName name="BA_SUL_14" localSheetId="64">#REF!</definedName>
    <definedName name="BA_SUL_14" localSheetId="65">#REF!</definedName>
    <definedName name="BA_SUL_14" localSheetId="66">#REF!</definedName>
    <definedName name="BA_SUL_14" localSheetId="67">#REF!</definedName>
    <definedName name="BA_SUL_14" localSheetId="68">#REF!</definedName>
    <definedName name="BA_SUL_14" localSheetId="69">#REF!</definedName>
    <definedName name="BA_SUL_14" localSheetId="70">#REF!</definedName>
    <definedName name="BA_SUL_14" localSheetId="71">#REF!</definedName>
    <definedName name="BA_SUL_14" localSheetId="72">#REF!</definedName>
    <definedName name="BA_SUL_14" localSheetId="73">#REF!</definedName>
    <definedName name="BA_SUL_14" localSheetId="74">#REF!</definedName>
    <definedName name="BA_SUL_14" localSheetId="75">#REF!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 localSheetId="49">#REF!</definedName>
    <definedName name="BA_SUL_19" localSheetId="50">#REF!</definedName>
    <definedName name="BA_SUL_19" localSheetId="51">#REF!</definedName>
    <definedName name="BA_SUL_19" localSheetId="52">#REF!</definedName>
    <definedName name="BA_SUL_19" localSheetId="53">#REF!</definedName>
    <definedName name="BA_SUL_19" localSheetId="54">#REF!</definedName>
    <definedName name="BA_SUL_19" localSheetId="55">#REF!</definedName>
    <definedName name="BA_SUL_19" localSheetId="56">#REF!</definedName>
    <definedName name="BA_SUL_19" localSheetId="57">#REF!</definedName>
    <definedName name="BA_SUL_19" localSheetId="58">#REF!</definedName>
    <definedName name="BA_SUL_19" localSheetId="59">#REF!</definedName>
    <definedName name="BA_SUL_19" localSheetId="60">#REF!</definedName>
    <definedName name="BA_SUL_19" localSheetId="61">#REF!</definedName>
    <definedName name="BA_SUL_19" localSheetId="62">#REF!</definedName>
    <definedName name="BA_SUL_19" localSheetId="63">#REF!</definedName>
    <definedName name="BA_SUL_19" localSheetId="64">#REF!</definedName>
    <definedName name="BA_SUL_19" localSheetId="65">#REF!</definedName>
    <definedName name="BA_SUL_19" localSheetId="66">#REF!</definedName>
    <definedName name="BA_SUL_19" localSheetId="67">#REF!</definedName>
    <definedName name="BA_SUL_19" localSheetId="68">#REF!</definedName>
    <definedName name="BA_SUL_19" localSheetId="69">#REF!</definedName>
    <definedName name="BA_SUL_19" localSheetId="70">#REF!</definedName>
    <definedName name="BA_SUL_19" localSheetId="71">#REF!</definedName>
    <definedName name="BA_SUL_19" localSheetId="72">#REF!</definedName>
    <definedName name="BA_SUL_19" localSheetId="73">#REF!</definedName>
    <definedName name="BA_SUL_19" localSheetId="74">#REF!</definedName>
    <definedName name="BA_SUL_19" localSheetId="75">#REF!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 localSheetId="49">#REF!</definedName>
    <definedName name="MILHO_2__SAFRA" localSheetId="50">#REF!</definedName>
    <definedName name="MILHO_2__SAFRA" localSheetId="51">#REF!</definedName>
    <definedName name="MILHO_2__SAFRA" localSheetId="52">#REF!</definedName>
    <definedName name="MILHO_2__SAFRA" localSheetId="53">#REF!</definedName>
    <definedName name="MILHO_2__SAFRA" localSheetId="54">#REF!</definedName>
    <definedName name="MILHO_2__SAFRA" localSheetId="55">#REF!</definedName>
    <definedName name="MILHO_2__SAFRA" localSheetId="56">#REF!</definedName>
    <definedName name="MILHO_2__SAFRA" localSheetId="57">#REF!</definedName>
    <definedName name="MILHO_2__SAFRA" localSheetId="58">#REF!</definedName>
    <definedName name="MILHO_2__SAFRA" localSheetId="59">#REF!</definedName>
    <definedName name="MILHO_2__SAFRA" localSheetId="60">#REF!</definedName>
    <definedName name="MILHO_2__SAFRA" localSheetId="61">#REF!</definedName>
    <definedName name="MILHO_2__SAFRA" localSheetId="62">#REF!</definedName>
    <definedName name="MILHO_2__SAFRA" localSheetId="63">#REF!</definedName>
    <definedName name="MILHO_2__SAFRA" localSheetId="64">#REF!</definedName>
    <definedName name="MILHO_2__SAFRA" localSheetId="65">#REF!</definedName>
    <definedName name="MILHO_2__SAFRA" localSheetId="66">#REF!</definedName>
    <definedName name="MILHO_2__SAFRA" localSheetId="67">#REF!</definedName>
    <definedName name="MILHO_2__SAFRA" localSheetId="68">#REF!</definedName>
    <definedName name="MILHO_2__SAFRA" localSheetId="69">#REF!</definedName>
    <definedName name="MILHO_2__SAFRA" localSheetId="70">#REF!</definedName>
    <definedName name="MILHO_2__SAFRA" localSheetId="71">#REF!</definedName>
    <definedName name="MILHO_2__SAFRA" localSheetId="72">#REF!</definedName>
    <definedName name="MILHO_2__SAFRA" localSheetId="73">#REF!</definedName>
    <definedName name="MILHO_2__SAFRA" localSheetId="74">#REF!</definedName>
    <definedName name="MILHO_2__SAFRA" localSheetId="75">#REF!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 localSheetId="49">#REF!</definedName>
    <definedName name="QUADRO2" localSheetId="50">#REF!</definedName>
    <definedName name="QUADRO2" localSheetId="51">#REF!</definedName>
    <definedName name="QUADRO2" localSheetId="52">#REF!</definedName>
    <definedName name="QUADRO2" localSheetId="53">#REF!</definedName>
    <definedName name="QUADRO2" localSheetId="54">#REF!</definedName>
    <definedName name="QUADRO2" localSheetId="55">#REF!</definedName>
    <definedName name="QUADRO2" localSheetId="56">#REF!</definedName>
    <definedName name="QUADRO2" localSheetId="57">#REF!</definedName>
    <definedName name="QUADRO2" localSheetId="58">#REF!</definedName>
    <definedName name="QUADRO2" localSheetId="59">#REF!</definedName>
    <definedName name="QUADRO2" localSheetId="60">#REF!</definedName>
    <definedName name="QUADRO2" localSheetId="61">#REF!</definedName>
    <definedName name="QUADRO2" localSheetId="62">#REF!</definedName>
    <definedName name="QUADRO2" localSheetId="63">#REF!</definedName>
    <definedName name="QUADRO2" localSheetId="64">#REF!</definedName>
    <definedName name="QUADRO2" localSheetId="65">#REF!</definedName>
    <definedName name="QUADRO2" localSheetId="66">#REF!</definedName>
    <definedName name="QUADRO2" localSheetId="67">#REF!</definedName>
    <definedName name="QUADRO2" localSheetId="68">#REF!</definedName>
    <definedName name="QUADRO2" localSheetId="69">#REF!</definedName>
    <definedName name="QUADRO2" localSheetId="70">#REF!</definedName>
    <definedName name="QUADRO2" localSheetId="71">#REF!</definedName>
    <definedName name="QUADRO2" localSheetId="72">#REF!</definedName>
    <definedName name="QUADRO2" localSheetId="73">#REF!</definedName>
    <definedName name="QUADRO2" localSheetId="74">#REF!</definedName>
    <definedName name="QUADRO2" localSheetId="75">#REF!</definedName>
    <definedName name="QUADRO2">#REF!</definedName>
    <definedName name="QUADRO3" localSheetId="49">#REF!</definedName>
    <definedName name="QUADRO3" localSheetId="50">#REF!</definedName>
    <definedName name="QUADRO3" localSheetId="51">#REF!</definedName>
    <definedName name="QUADRO3" localSheetId="52">#REF!</definedName>
    <definedName name="QUADRO3" localSheetId="53">#REF!</definedName>
    <definedName name="QUADRO3" localSheetId="54">#REF!</definedName>
    <definedName name="QUADRO3" localSheetId="55">#REF!</definedName>
    <definedName name="QUADRO3" localSheetId="56">#REF!</definedName>
    <definedName name="QUADRO3" localSheetId="57">#REF!</definedName>
    <definedName name="QUADRO3" localSheetId="58">#REF!</definedName>
    <definedName name="QUADRO3" localSheetId="59">#REF!</definedName>
    <definedName name="QUADRO3" localSheetId="60">#REF!</definedName>
    <definedName name="QUADRO3" localSheetId="61">#REF!</definedName>
    <definedName name="QUADRO3" localSheetId="62">#REF!</definedName>
    <definedName name="QUADRO3" localSheetId="63">#REF!</definedName>
    <definedName name="QUADRO3" localSheetId="64">#REF!</definedName>
    <definedName name="QUADRO3" localSheetId="65">#REF!</definedName>
    <definedName name="QUADRO3" localSheetId="66">#REF!</definedName>
    <definedName name="QUADRO3" localSheetId="67">#REF!</definedName>
    <definedName name="QUADRO3" localSheetId="68">#REF!</definedName>
    <definedName name="QUADRO3" localSheetId="69">#REF!</definedName>
    <definedName name="QUADRO3" localSheetId="70">#REF!</definedName>
    <definedName name="QUADRO3" localSheetId="71">#REF!</definedName>
    <definedName name="QUADRO3" localSheetId="72">#REF!</definedName>
    <definedName name="QUADRO3" localSheetId="73">#REF!</definedName>
    <definedName name="QUADRO3" localSheetId="74">#REF!</definedName>
    <definedName name="QUADRO3" localSheetId="75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 localSheetId="49">#REF!</definedName>
    <definedName name="Suprimento_de_Milho" localSheetId="50">#REF!</definedName>
    <definedName name="Suprimento_de_Milho" localSheetId="51">#REF!</definedName>
    <definedName name="Suprimento_de_Milho" localSheetId="52">#REF!</definedName>
    <definedName name="Suprimento_de_Milho" localSheetId="53">#REF!</definedName>
    <definedName name="Suprimento_de_Milho" localSheetId="54">#REF!</definedName>
    <definedName name="Suprimento_de_Milho" localSheetId="55">#REF!</definedName>
    <definedName name="Suprimento_de_Milho" localSheetId="56">#REF!</definedName>
    <definedName name="Suprimento_de_Milho" localSheetId="57">#REF!</definedName>
    <definedName name="Suprimento_de_Milho" localSheetId="58">#REF!</definedName>
    <definedName name="Suprimento_de_Milho" localSheetId="59">#REF!</definedName>
    <definedName name="Suprimento_de_Milho" localSheetId="60">#REF!</definedName>
    <definedName name="Suprimento_de_Milho" localSheetId="61">#REF!</definedName>
    <definedName name="Suprimento_de_Milho" localSheetId="62">#REF!</definedName>
    <definedName name="Suprimento_de_Milho" localSheetId="63">#REF!</definedName>
    <definedName name="Suprimento_de_Milho" localSheetId="64">#REF!</definedName>
    <definedName name="Suprimento_de_Milho" localSheetId="65">#REF!</definedName>
    <definedName name="Suprimento_de_Milho" localSheetId="66">#REF!</definedName>
    <definedName name="Suprimento_de_Milho" localSheetId="67">#REF!</definedName>
    <definedName name="Suprimento_de_Milho" localSheetId="68">#REF!</definedName>
    <definedName name="Suprimento_de_Milho" localSheetId="69">#REF!</definedName>
    <definedName name="Suprimento_de_Milho" localSheetId="70">#REF!</definedName>
    <definedName name="Suprimento_de_Milho" localSheetId="71">#REF!</definedName>
    <definedName name="Suprimento_de_Milho" localSheetId="72">#REF!</definedName>
    <definedName name="Suprimento_de_Milho" localSheetId="73">#REF!</definedName>
    <definedName name="Suprimento_de_Milho" localSheetId="74">#REF!</definedName>
    <definedName name="Suprimento_de_Milho" localSheetId="75">#REF!</definedName>
    <definedName name="Suprimento_de_Milho">#REF!</definedName>
    <definedName name="TAB1">NA()</definedName>
    <definedName name="TAB1_1">NA()</definedName>
    <definedName name="TAB1_10">NA()</definedName>
    <definedName name="TAB1_11" localSheetId="49">#REF!</definedName>
    <definedName name="TAB1_11" localSheetId="50">#REF!</definedName>
    <definedName name="TAB1_11" localSheetId="51">#REF!</definedName>
    <definedName name="TAB1_11" localSheetId="52">#REF!</definedName>
    <definedName name="TAB1_11" localSheetId="53">#REF!</definedName>
    <definedName name="TAB1_11" localSheetId="54">#REF!</definedName>
    <definedName name="TAB1_11" localSheetId="55">#REF!</definedName>
    <definedName name="TAB1_11" localSheetId="56">#REF!</definedName>
    <definedName name="TAB1_11" localSheetId="57">#REF!</definedName>
    <definedName name="TAB1_11" localSheetId="58">#REF!</definedName>
    <definedName name="TAB1_11" localSheetId="59">#REF!</definedName>
    <definedName name="TAB1_11" localSheetId="60">#REF!</definedName>
    <definedName name="TAB1_11" localSheetId="61">#REF!</definedName>
    <definedName name="TAB1_11" localSheetId="62">#REF!</definedName>
    <definedName name="TAB1_11" localSheetId="63">#REF!</definedName>
    <definedName name="TAB1_11" localSheetId="64">#REF!</definedName>
    <definedName name="TAB1_11" localSheetId="65">#REF!</definedName>
    <definedName name="TAB1_11" localSheetId="66">#REF!</definedName>
    <definedName name="TAB1_11" localSheetId="67">#REF!</definedName>
    <definedName name="TAB1_11" localSheetId="68">#REF!</definedName>
    <definedName name="TAB1_11" localSheetId="69">#REF!</definedName>
    <definedName name="TAB1_11" localSheetId="70">#REF!</definedName>
    <definedName name="TAB1_11" localSheetId="71">#REF!</definedName>
    <definedName name="TAB1_11" localSheetId="72">#REF!</definedName>
    <definedName name="TAB1_11" localSheetId="73">#REF!</definedName>
    <definedName name="TAB1_11" localSheetId="74">#REF!</definedName>
    <definedName name="TAB1_11" localSheetId="75">#REF!</definedName>
    <definedName name="TAB1_11">#REF!</definedName>
    <definedName name="TAB1_12">NA()</definedName>
    <definedName name="TAB1_13">NA()</definedName>
    <definedName name="TAB1_14" localSheetId="49">#REF!</definedName>
    <definedName name="TAB1_14" localSheetId="50">#REF!</definedName>
    <definedName name="TAB1_14" localSheetId="51">#REF!</definedName>
    <definedName name="TAB1_14" localSheetId="52">#REF!</definedName>
    <definedName name="TAB1_14" localSheetId="53">#REF!</definedName>
    <definedName name="TAB1_14" localSheetId="54">#REF!</definedName>
    <definedName name="TAB1_14" localSheetId="55">#REF!</definedName>
    <definedName name="TAB1_14" localSheetId="56">#REF!</definedName>
    <definedName name="TAB1_14" localSheetId="57">#REF!</definedName>
    <definedName name="TAB1_14" localSheetId="58">#REF!</definedName>
    <definedName name="TAB1_14" localSheetId="59">#REF!</definedName>
    <definedName name="TAB1_14" localSheetId="60">#REF!</definedName>
    <definedName name="TAB1_14" localSheetId="61">#REF!</definedName>
    <definedName name="TAB1_14" localSheetId="62">#REF!</definedName>
    <definedName name="TAB1_14" localSheetId="63">#REF!</definedName>
    <definedName name="TAB1_14" localSheetId="64">#REF!</definedName>
    <definedName name="TAB1_14" localSheetId="65">#REF!</definedName>
    <definedName name="TAB1_14" localSheetId="66">#REF!</definedName>
    <definedName name="TAB1_14" localSheetId="67">#REF!</definedName>
    <definedName name="TAB1_14" localSheetId="68">#REF!</definedName>
    <definedName name="TAB1_14" localSheetId="69">#REF!</definedName>
    <definedName name="TAB1_14" localSheetId="70">#REF!</definedName>
    <definedName name="TAB1_14" localSheetId="71">#REF!</definedName>
    <definedName name="TAB1_14" localSheetId="72">#REF!</definedName>
    <definedName name="TAB1_14" localSheetId="73">#REF!</definedName>
    <definedName name="TAB1_14" localSheetId="74">#REF!</definedName>
    <definedName name="TAB1_14" localSheetId="75">#REF!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 localSheetId="49">#REF!</definedName>
    <definedName name="TAB1_19" localSheetId="50">#REF!</definedName>
    <definedName name="TAB1_19" localSheetId="51">#REF!</definedName>
    <definedName name="TAB1_19" localSheetId="52">#REF!</definedName>
    <definedName name="TAB1_19" localSheetId="53">#REF!</definedName>
    <definedName name="TAB1_19" localSheetId="54">#REF!</definedName>
    <definedName name="TAB1_19" localSheetId="55">#REF!</definedName>
    <definedName name="TAB1_19" localSheetId="56">#REF!</definedName>
    <definedName name="TAB1_19" localSheetId="57">#REF!</definedName>
    <definedName name="TAB1_19" localSheetId="58">#REF!</definedName>
    <definedName name="TAB1_19" localSheetId="59">#REF!</definedName>
    <definedName name="TAB1_19" localSheetId="60">#REF!</definedName>
    <definedName name="TAB1_19" localSheetId="61">#REF!</definedName>
    <definedName name="TAB1_19" localSheetId="62">#REF!</definedName>
    <definedName name="TAB1_19" localSheetId="63">#REF!</definedName>
    <definedName name="TAB1_19" localSheetId="64">#REF!</definedName>
    <definedName name="TAB1_19" localSheetId="65">#REF!</definedName>
    <definedName name="TAB1_19" localSheetId="66">#REF!</definedName>
    <definedName name="TAB1_19" localSheetId="67">#REF!</definedName>
    <definedName name="TAB1_19" localSheetId="68">#REF!</definedName>
    <definedName name="TAB1_19" localSheetId="69">#REF!</definedName>
    <definedName name="TAB1_19" localSheetId="70">#REF!</definedName>
    <definedName name="TAB1_19" localSheetId="71">#REF!</definedName>
    <definedName name="TAB1_19" localSheetId="72">#REF!</definedName>
    <definedName name="TAB1_19" localSheetId="73">#REF!</definedName>
    <definedName name="TAB1_19" localSheetId="74">#REF!</definedName>
    <definedName name="TAB1_19" localSheetId="75">#REF!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 localSheetId="49">#REF!</definedName>
    <definedName name="tabela1_11" localSheetId="50">#REF!</definedName>
    <definedName name="tabela1_11" localSheetId="51">#REF!</definedName>
    <definedName name="tabela1_11" localSheetId="52">#REF!</definedName>
    <definedName name="tabela1_11" localSheetId="53">#REF!</definedName>
    <definedName name="tabela1_11" localSheetId="54">#REF!</definedName>
    <definedName name="tabela1_11" localSheetId="55">#REF!</definedName>
    <definedName name="tabela1_11" localSheetId="56">#REF!</definedName>
    <definedName name="tabela1_11" localSheetId="57">#REF!</definedName>
    <definedName name="tabela1_11" localSheetId="58">#REF!</definedName>
    <definedName name="tabela1_11" localSheetId="59">#REF!</definedName>
    <definedName name="tabela1_11" localSheetId="60">#REF!</definedName>
    <definedName name="tabela1_11" localSheetId="61">#REF!</definedName>
    <definedName name="tabela1_11" localSheetId="62">#REF!</definedName>
    <definedName name="tabela1_11" localSheetId="63">#REF!</definedName>
    <definedName name="tabela1_11" localSheetId="64">#REF!</definedName>
    <definedName name="tabela1_11" localSheetId="65">#REF!</definedName>
    <definedName name="tabela1_11" localSheetId="66">#REF!</definedName>
    <definedName name="tabela1_11" localSheetId="67">#REF!</definedName>
    <definedName name="tabela1_11" localSheetId="68">#REF!</definedName>
    <definedName name="tabela1_11" localSheetId="69">#REF!</definedName>
    <definedName name="tabela1_11" localSheetId="70">#REF!</definedName>
    <definedName name="tabela1_11" localSheetId="71">#REF!</definedName>
    <definedName name="tabela1_11" localSheetId="72">#REF!</definedName>
    <definedName name="tabela1_11" localSheetId="73">#REF!</definedName>
    <definedName name="tabela1_11" localSheetId="74">#REF!</definedName>
    <definedName name="tabela1_11" localSheetId="75">#REF!</definedName>
    <definedName name="tabela1_11">#REF!</definedName>
    <definedName name="tabela1_12">NA()</definedName>
    <definedName name="tabela1_13">NA()</definedName>
    <definedName name="tabela1_14" localSheetId="49">#REF!</definedName>
    <definedName name="tabela1_14" localSheetId="50">#REF!</definedName>
    <definedName name="tabela1_14" localSheetId="51">#REF!</definedName>
    <definedName name="tabela1_14" localSheetId="52">#REF!</definedName>
    <definedName name="tabela1_14" localSheetId="53">#REF!</definedName>
    <definedName name="tabela1_14" localSheetId="54">#REF!</definedName>
    <definedName name="tabela1_14" localSheetId="55">#REF!</definedName>
    <definedName name="tabela1_14" localSheetId="56">#REF!</definedName>
    <definedName name="tabela1_14" localSheetId="57">#REF!</definedName>
    <definedName name="tabela1_14" localSheetId="58">#REF!</definedName>
    <definedName name="tabela1_14" localSheetId="59">#REF!</definedName>
    <definedName name="tabela1_14" localSheetId="60">#REF!</definedName>
    <definedName name="tabela1_14" localSheetId="61">#REF!</definedName>
    <definedName name="tabela1_14" localSheetId="62">#REF!</definedName>
    <definedName name="tabela1_14" localSheetId="63">#REF!</definedName>
    <definedName name="tabela1_14" localSheetId="64">#REF!</definedName>
    <definedName name="tabela1_14" localSheetId="65">#REF!</definedName>
    <definedName name="tabela1_14" localSheetId="66">#REF!</definedName>
    <definedName name="tabela1_14" localSheetId="67">#REF!</definedName>
    <definedName name="tabela1_14" localSheetId="68">#REF!</definedName>
    <definedName name="tabela1_14" localSheetId="69">#REF!</definedName>
    <definedName name="tabela1_14" localSheetId="70">#REF!</definedName>
    <definedName name="tabela1_14" localSheetId="71">#REF!</definedName>
    <definedName name="tabela1_14" localSheetId="72">#REF!</definedName>
    <definedName name="tabela1_14" localSheetId="73">#REF!</definedName>
    <definedName name="tabela1_14" localSheetId="74">#REF!</definedName>
    <definedName name="tabela1_14" localSheetId="75">#REF!</definedName>
    <definedName name="tabela1_14">#REF!</definedName>
    <definedName name="tabela1_15">NA()</definedName>
    <definedName name="tabela1_16">NA()</definedName>
    <definedName name="tabela1_17" localSheetId="49">#REF!</definedName>
    <definedName name="tabela1_17" localSheetId="50">#REF!</definedName>
    <definedName name="tabela1_17" localSheetId="51">#REF!</definedName>
    <definedName name="tabela1_17" localSheetId="52">#REF!</definedName>
    <definedName name="tabela1_17" localSheetId="53">#REF!</definedName>
    <definedName name="tabela1_17" localSheetId="54">#REF!</definedName>
    <definedName name="tabela1_17" localSheetId="55">#REF!</definedName>
    <definedName name="tabela1_17" localSheetId="56">#REF!</definedName>
    <definedName name="tabela1_17" localSheetId="57">#REF!</definedName>
    <definedName name="tabela1_17" localSheetId="58">#REF!</definedName>
    <definedName name="tabela1_17" localSheetId="59">#REF!</definedName>
    <definedName name="tabela1_17" localSheetId="60">#REF!</definedName>
    <definedName name="tabela1_17" localSheetId="61">#REF!</definedName>
    <definedName name="tabela1_17" localSheetId="62">#REF!</definedName>
    <definedName name="tabela1_17" localSheetId="63">#REF!</definedName>
    <definedName name="tabela1_17" localSheetId="64">#REF!</definedName>
    <definedName name="tabela1_17" localSheetId="65">#REF!</definedName>
    <definedName name="tabela1_17" localSheetId="66">#REF!</definedName>
    <definedName name="tabela1_17" localSheetId="67">#REF!</definedName>
    <definedName name="tabela1_17" localSheetId="68">#REF!</definedName>
    <definedName name="tabela1_17" localSheetId="69">#REF!</definedName>
    <definedName name="tabela1_17" localSheetId="70">#REF!</definedName>
    <definedName name="tabela1_17" localSheetId="71">#REF!</definedName>
    <definedName name="tabela1_17" localSheetId="72">#REF!</definedName>
    <definedName name="tabela1_17" localSheetId="73">#REF!</definedName>
    <definedName name="tabela1_17" localSheetId="74">#REF!</definedName>
    <definedName name="tabela1_17" localSheetId="75">#REF!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50" l="1"/>
  <c r="C37" i="50"/>
  <c r="C29" i="50"/>
  <c r="C21" i="50"/>
  <c r="C13" i="50"/>
</calcChain>
</file>

<file path=xl/sharedStrings.xml><?xml version="1.0" encoding="utf-8"?>
<sst xmlns="http://schemas.openxmlformats.org/spreadsheetml/2006/main" count="5255" uniqueCount="213">
  <si>
    <t>SAFRAS 2024/25 E 2025/26</t>
  </si>
  <si>
    <t>24/25</t>
  </si>
  <si>
    <t>Safra 24/25</t>
  </si>
  <si>
    <t>2025</t>
  </si>
  <si>
    <t>25/26</t>
  </si>
  <si>
    <t>Safra 25/26</t>
  </si>
  <si>
    <t>2026</t>
  </si>
  <si>
    <t>Fonte: Conab.</t>
  </si>
  <si>
    <t>Safra 2025</t>
  </si>
  <si>
    <t>PRODUTO</t>
  </si>
  <si>
    <t>SAFRAS</t>
  </si>
  <si>
    <t>VARIAÇÃO</t>
  </si>
  <si>
    <t>Percentual</t>
  </si>
  <si>
    <t>Absoluta</t>
  </si>
  <si>
    <t xml:space="preserve">    (a)</t>
  </si>
  <si>
    <t>(c/b)</t>
  </si>
  <si>
    <t>(c/a)</t>
  </si>
  <si>
    <t>(c-b)</t>
  </si>
  <si>
    <t>(c-a)</t>
  </si>
  <si>
    <r>
      <t xml:space="preserve">ALGODÃO - CAROÇO </t>
    </r>
    <r>
      <rPr>
        <vertAlign val="superscript"/>
        <sz val="12"/>
        <color theme="3" tint="-0.249977111117893"/>
        <rFont val="Arial"/>
        <family val="2"/>
      </rPr>
      <t>(1)</t>
    </r>
  </si>
  <si>
    <t>ALGODÃO EM PLUMA</t>
  </si>
  <si>
    <t>AMENDOIM TOTAL</t>
  </si>
  <si>
    <t>Amendoim 1ª Safra</t>
  </si>
  <si>
    <t>Amendoim 2ª Safra</t>
  </si>
  <si>
    <t>ARROZ</t>
  </si>
  <si>
    <t>Arroz sequeiro</t>
  </si>
  <si>
    <t>Arroz irrigado</t>
  </si>
  <si>
    <t>FEIJÃO TOTAL</t>
  </si>
  <si>
    <t>FEIJÃO TOTAL CORES</t>
  </si>
  <si>
    <t>FEIJÃO TOTAL PRETO</t>
  </si>
  <si>
    <t>FEIJÃO TOTAL CAUPI</t>
  </si>
  <si>
    <t>FEIJÃO 1ª SAFRA</t>
  </si>
  <si>
    <t>Cores</t>
  </si>
  <si>
    <t>Preto</t>
  </si>
  <si>
    <t>Caupi</t>
  </si>
  <si>
    <t>FEIJÃO 2ª SAFRA</t>
  </si>
  <si>
    <t>FEIJÃO 3ª SAFRA</t>
  </si>
  <si>
    <t>GERGELIM</t>
  </si>
  <si>
    <t>GIRASSOL</t>
  </si>
  <si>
    <t>MAMONA</t>
  </si>
  <si>
    <t>MILHO TOTAL</t>
  </si>
  <si>
    <t>Milho 1ª Safra</t>
  </si>
  <si>
    <t>Milho 2ª Safra</t>
  </si>
  <si>
    <t>Milho 3ª Safra</t>
  </si>
  <si>
    <t>SOJA</t>
  </si>
  <si>
    <t>SORGO</t>
  </si>
  <si>
    <t>SUBTOTAL</t>
  </si>
  <si>
    <t>CULTURAS DE INVERNO</t>
  </si>
  <si>
    <t>AVEIA</t>
  </si>
  <si>
    <t>CANOLA</t>
  </si>
  <si>
    <t>CENTEIO</t>
  </si>
  <si>
    <t>CEVADA</t>
  </si>
  <si>
    <t>TRIGO</t>
  </si>
  <si>
    <t>TRITICALE</t>
  </si>
  <si>
    <r>
      <t xml:space="preserve">BRASIL </t>
    </r>
    <r>
      <rPr>
        <b/>
        <vertAlign val="superscript"/>
        <sz val="12"/>
        <color theme="3" tint="-0.249977111117893"/>
        <rFont val="Arial"/>
        <family val="2"/>
      </rPr>
      <t>(2)</t>
    </r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</si>
  <si>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Produção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produção de algodão em pluma</t>
    </r>
  </si>
  <si>
    <t>(em mil hectares)</t>
  </si>
  <si>
    <t>ALGODÃO</t>
  </si>
  <si>
    <t>BRASIL</t>
  </si>
  <si>
    <r>
      <t xml:space="preserve">Legenda: </t>
    </r>
    <r>
      <rPr>
        <vertAlign val="superscript"/>
        <sz val="9"/>
        <rFont val="Arial"/>
        <family val="2"/>
      </rPr>
      <t>(1)</t>
    </r>
    <r>
      <rPr>
        <sz val="9"/>
        <rFont val="Arial"/>
        <family val="2"/>
      </rPr>
      <t xml:space="preserve"> Produtividade de caroço de algodão; </t>
    </r>
    <r>
      <rPr>
        <vertAlign val="superscript"/>
        <sz val="9"/>
        <rFont val="Arial"/>
        <family val="2"/>
      </rPr>
      <t>(2)</t>
    </r>
    <r>
      <rPr>
        <sz val="9"/>
        <rFont val="Arial"/>
        <family val="2"/>
      </rPr>
      <t xml:space="preserve"> Exclui a produtividade de algodão em pluma</t>
    </r>
  </si>
  <si>
    <t xml:space="preserve"> </t>
  </si>
  <si>
    <t>REGIÃO/UF</t>
  </si>
  <si>
    <t>ÁREA (Em mil ha)</t>
  </si>
  <si>
    <t>PRODUTIVIDADE (Em kg/ha)</t>
  </si>
  <si>
    <t>PRODUÇÃO (Em mil t)</t>
  </si>
  <si>
    <t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</si>
  <si>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</si>
  <si>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</si>
  <si>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</si>
  <si>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</si>
  <si>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</si>
  <si>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</si>
  <si>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</si>
  <si>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</si>
  <si>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</si>
  <si>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</si>
  <si>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</si>
  <si>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</si>
  <si>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</si>
  <si>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</si>
  <si>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</si>
  <si>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</si>
  <si>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</si>
  <si>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</si>
  <si>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</si>
  <si>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</si>
  <si>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</si>
  <si>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</si>
  <si>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</si>
  <si>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</si>
  <si>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</si>
  <si>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</si>
  <si>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</si>
  <si>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</si>
  <si>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</si>
  <si>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</si>
  <si>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</si>
  <si>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</si>
  <si>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</si>
  <si>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</si>
  <si>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</si>
  <si>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</si>
  <si>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</si>
  <si>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</si>
  <si>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</si>
  <si>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</si>
  <si>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</si>
  <si>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</si>
  <si>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</si>
  <si>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>Legenda: (*) Produtos selecionados: Caroço de algodão, amendoim (1ª e 2ª safras), arroz, aveia, canola, centeio, cevada, feijão (1ª, 2ª e 3ª safras), gergelim, girassol, mamona, milho (1ª, 2ª e 3ª safras), soja, sorgo, trigo e triticale</t>
  </si>
  <si>
    <r>
      <t xml:space="preserve">ALGODÃO - CAROÇO </t>
    </r>
    <r>
      <rPr>
        <vertAlign val="superscript"/>
        <sz val="12"/>
        <color indexed="54"/>
        <rFont val="Arial"/>
        <family val="2"/>
      </rPr>
      <t>(1)</t>
    </r>
  </si>
  <si>
    <t>ALGODÃO - PLUMA</t>
  </si>
  <si>
    <r>
      <t xml:space="preserve">BRASIL </t>
    </r>
    <r>
      <rPr>
        <b/>
        <vertAlign val="superscript"/>
        <sz val="12"/>
        <color indexed="54"/>
        <rFont val="Arial"/>
        <family val="2"/>
      </rPr>
      <t>(2)</t>
    </r>
  </si>
  <si>
    <t>RENDIMENTO % - PLUMA</t>
  </si>
  <si>
    <t>PRODUÇÃO - (Em mil t)</t>
  </si>
  <si>
    <t>ALGODÃO EM CAROÇO</t>
  </si>
  <si>
    <t>CAROÇO DE ALGODÃO</t>
  </si>
  <si>
    <t>*Caroço + pluma</t>
  </si>
  <si>
    <t>COMPARATIVO DE ÁREA, PRODUTIVIDADE E PRODUÇÃO</t>
  </si>
  <si>
    <t>COMPARATIVO DE  PRODUÇÃO E RENDIMENTO</t>
  </si>
  <si>
    <t>AMENDOIM 1ª SAFRA</t>
  </si>
  <si>
    <t>AMENDOIM 2ª SAFRA</t>
  </si>
  <si>
    <t>AMENDOIM TOTAL (1ª e 2ª SAFRA)</t>
  </si>
  <si>
    <t>ARROZ IRRIGADO</t>
  </si>
  <si>
    <t xml:space="preserve">RO </t>
  </si>
  <si>
    <t xml:space="preserve">                                                                                                                                              </t>
  </si>
  <si>
    <t>.</t>
  </si>
  <si>
    <t xml:space="preserve">BALANÇO DE OFERTA E DEMANDA </t>
  </si>
  <si>
    <t>SAFRA</t>
  </si>
  <si>
    <t>ESTOQUE
INICIAL</t>
  </si>
  <si>
    <t>PRODUÇÃO</t>
  </si>
  <si>
    <t>IMPORTAÇÃO</t>
  </si>
  <si>
    <t>SUPRIMENTO</t>
  </si>
  <si>
    <t>CONSUMO</t>
  </si>
  <si>
    <t>EXPORTAÇÃO</t>
  </si>
  <si>
    <t>DEMANDA TOTAL</t>
  </si>
  <si>
    <t>ESTOQUE
FINAL</t>
  </si>
  <si>
    <t>2019/20</t>
  </si>
  <si>
    <t>2020/21</t>
  </si>
  <si>
    <t>2021/22</t>
  </si>
  <si>
    <t>2022/23</t>
  </si>
  <si>
    <t>2023/24</t>
  </si>
  <si>
    <t>2024/25</t>
  </si>
  <si>
    <t>2025/26</t>
  </si>
  <si>
    <t xml:space="preserve">ARROZ EM CASCA
</t>
  </si>
  <si>
    <t>FEIJÃO</t>
  </si>
  <si>
    <t>MILHO</t>
  </si>
  <si>
    <t>2020</t>
  </si>
  <si>
    <t>2021</t>
  </si>
  <si>
    <t>2022</t>
  </si>
  <si>
    <t xml:space="preserve">*Estimativa </t>
  </si>
  <si>
    <t>** Previsão</t>
  </si>
  <si>
    <t>Estoque de Passagem - Algodão, Feijão e Soja: 31 de Dezembro; Milho: 31 de Janeiro; Arroz: 28 de Fevereiro; Trigo: 31 de Julho.</t>
  </si>
  <si>
    <t>1. Soja em grão</t>
  </si>
  <si>
    <t>1.1. Estoque Inicial</t>
  </si>
  <si>
    <t>1.2. Produção</t>
  </si>
  <si>
    <t>1.3. Importação</t>
  </si>
  <si>
    <t>1.4. Sementes/Outros</t>
  </si>
  <si>
    <t>1.5. Exportação</t>
  </si>
  <si>
    <t>1.6. Processamento</t>
  </si>
  <si>
    <t>1.7. Estoque Final</t>
  </si>
  <si>
    <t>2. Farelo</t>
  </si>
  <si>
    <t>2.1. Estoque Inicial</t>
  </si>
  <si>
    <t>2.2. Produção</t>
  </si>
  <si>
    <t>2.3. Importação</t>
  </si>
  <si>
    <t>2.4. Exportação</t>
  </si>
  <si>
    <t>2.5. Vendas no Mercado Interno</t>
  </si>
  <si>
    <t>2.6. Estoque Final</t>
  </si>
  <si>
    <t>3. Óleo</t>
  </si>
  <si>
    <t>3.1. Estoque Inicial</t>
  </si>
  <si>
    <t>3.2. Produção</t>
  </si>
  <si>
    <t>3.3. Importação</t>
  </si>
  <si>
    <t>3.4. Exportação</t>
  </si>
  <si>
    <t>3.5. Vendas no Mercado Interno</t>
  </si>
  <si>
    <t>3.6. Estoque Final</t>
  </si>
  <si>
    <t>Estoque de Passagem: 31 de Dezembro</t>
  </si>
  <si>
    <t>Fonte: Conab, Secex, ANP, EPE, Abiove e Sindirações.</t>
  </si>
  <si>
    <r>
      <t xml:space="preserve">ACRE </t>
    </r>
    <r>
      <rPr>
        <b/>
        <vertAlign val="superscript"/>
        <sz val="12"/>
        <color indexed="54"/>
        <rFont val="Arial"/>
        <family val="2"/>
      </rPr>
      <t>(2)</t>
    </r>
  </si>
  <si>
    <t/>
  </si>
  <si>
    <r>
      <t xml:space="preserve">ALAGOAS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</si>
  <si>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AMAZONAS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</si>
  <si>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AMAPÁ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</si>
  <si>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BAHIA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</si>
  <si>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CEARÁ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</si>
  <si>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DISTRITO FEDERAL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</si>
  <si>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ESPÍRITO SANTO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</si>
  <si>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GOIÁS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</si>
  <si>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MARANHÃO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</si>
  <si>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MINAS GERAIS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</si>
  <si>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</si>
  <si>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MATO GROSSO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</si>
  <si>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</si>
  <si>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PARAÍBA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</si>
  <si>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PERNAMBUCO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</si>
  <si>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PIAUÍ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</si>
  <si>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PARANÁ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</si>
  <si>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DE JANEIRO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</si>
  <si>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NORTE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</si>
  <si>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RONDÔNIA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</si>
  <si>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RORAIMA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</si>
  <si>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RIO GRANDE DO SUL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</si>
  <si>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SANTA CATARINA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</si>
  <si>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SERGIPE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</si>
  <si>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SÃO PAULO </t>
    </r>
    <r>
      <rPr>
        <b/>
        <vertAlign val="superscript"/>
        <sz val="12"/>
        <color indexed="54"/>
        <rFont val="Arial"/>
        <family val="2"/>
      </rPr>
      <t>(2)</t>
    </r>
  </si>
  <si>
    <r>
      <t xml:space="preserve">TOCANTINS </t>
    </r>
    <r>
      <rPr>
        <b/>
        <vertAlign val="superscript"/>
        <sz val="12"/>
        <color indexed="54"/>
        <rFont val="Arial"/>
        <family val="2"/>
      </rPr>
      <t>(2)</t>
    </r>
  </si>
  <si>
    <t>2024</t>
  </si>
  <si>
    <t>2025*</t>
  </si>
  <si>
    <t>Safra 2026</t>
  </si>
  <si>
    <t>2026 **</t>
  </si>
  <si>
    <t>ago/26</t>
  </si>
  <si>
    <t>ago/2026           (b)</t>
  </si>
  <si>
    <t>set/2026           (c)</t>
  </si>
  <si>
    <t>Nota: Estimativa em setembro/2026.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</si>
</sst>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_-* #,##0.00_-;\-* #,##0.00_-;_-* \-??_-;_-@_-"/>
    <numFmt numFmtId="165" formatCode="#,##0.0"/>
    <numFmt numFmtId="166" formatCode="_(* #,##0.0_);_(* \(#,##0.0\);_(* \-_);_(@_)"/>
    <numFmt numFmtId="167" formatCode="_(* #,##0.0_);_(* \(#,##0.0\);_(* \-?_);_(@_)"/>
    <numFmt numFmtId="168" formatCode="#,##0.000"/>
    <numFmt numFmtId="169" formatCode="0.0%"/>
    <numFmt numFmtId="170" formatCode="0.0"/>
    <numFmt numFmtId="171" formatCode="_(* #,##0_);_(* \(#,##0\);_(* \-_);_(@_)"/>
    <numFmt numFmtId="172" formatCode="_(* #,##0_);_(* \(#,##0\);_(* \-?_);_(@_)"/>
    <numFmt numFmtId="173" formatCode="#,##0.0000"/>
    <numFmt numFmtId="174" formatCode="_(* #,##0.00_);_(* \(#,##0.00\);_(* \-_);_(@_)"/>
    <numFmt numFmtId="175" formatCode="_(* #,##0.00_);_(* \(#,##0.00\);_(* \-?_);_(@_)"/>
    <numFmt numFmtId="176" formatCode="#,##0.00000"/>
    <numFmt numFmtId="177" formatCode="_-* #,##0.000_-;\-* #,##0.000_-;_-* \-?_-;_-@_-"/>
    <numFmt numFmtId="178" formatCode="_-* #,##0.0000_-;\-* #,##0.0000_-;_-* \-?_-;_-@_-"/>
  </numFmts>
  <fonts count="48" x14ac:knownFonts="1">
    <font>
      <sz val="10"/>
      <color indexed="64"/>
      <name val="Arial"/>
    </font>
    <font>
      <b/>
      <sz val="11"/>
      <color indexed="63"/>
      <name val="Calibri"/>
      <family val="2"/>
    </font>
    <font>
      <sz val="11"/>
      <color indexed="2"/>
      <name val="Calibri"/>
      <family val="2"/>
    </font>
    <font>
      <u/>
      <sz val="10"/>
      <color theme="10"/>
      <name val="Arial"/>
      <family val="2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2"/>
      <name val="Arial"/>
      <family val="2"/>
    </font>
    <font>
      <b/>
      <sz val="10"/>
      <color theme="0"/>
      <name val="Arial"/>
      <family val="2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b/>
      <sz val="10"/>
      <color theme="3" tint="-0.249977111117893"/>
      <name val="Arial"/>
      <family val="2"/>
    </font>
    <font>
      <b/>
      <sz val="10"/>
      <color rgb="FFFDFDFD"/>
      <name val="Arial"/>
      <family val="2"/>
    </font>
    <font>
      <sz val="9"/>
      <name val="Arial"/>
      <family val="2"/>
    </font>
    <font>
      <b/>
      <sz val="10"/>
      <color indexed="4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DFDFD"/>
      <name val="Arial"/>
      <family val="2"/>
    </font>
    <font>
      <b/>
      <sz val="10"/>
      <color indexed="64"/>
      <name val="Arial"/>
      <family val="2"/>
    </font>
    <font>
      <sz val="10"/>
      <color rgb="FF465866"/>
      <name val="Arial"/>
      <family val="2"/>
    </font>
    <font>
      <i/>
      <sz val="10"/>
      <color rgb="FF465866"/>
      <name val="Arial"/>
      <family val="2"/>
    </font>
    <font>
      <b/>
      <sz val="10"/>
      <color rgb="FF465866"/>
      <name val="Arial"/>
      <family val="2"/>
    </font>
    <font>
      <b/>
      <sz val="10"/>
      <color rgb="FF333F4F"/>
      <name val="Arial"/>
      <family val="2"/>
    </font>
    <font>
      <sz val="10"/>
      <color rgb="FF333F4F"/>
      <name val="Arial"/>
      <family val="2"/>
    </font>
    <font>
      <sz val="10"/>
      <color indexed="2"/>
      <name val="Arial"/>
      <family val="2"/>
    </font>
    <font>
      <sz val="12"/>
      <color rgb="FF00000A"/>
      <name val="Times New Roman"/>
      <family val="1"/>
    </font>
    <font>
      <sz val="12"/>
      <name val="Arial"/>
      <family val="2"/>
    </font>
    <font>
      <sz val="9"/>
      <color rgb="FF333F4F"/>
      <name val="Arial"/>
      <family val="2"/>
    </font>
    <font>
      <b/>
      <sz val="10"/>
      <color theme="1" tint="0.24994659260841701"/>
      <name val="Arial"/>
      <family val="2"/>
    </font>
    <font>
      <sz val="9"/>
      <color theme="3" tint="-0.249977111117893"/>
      <name val="Arial"/>
      <family val="2"/>
    </font>
    <font>
      <b/>
      <sz val="10"/>
      <color theme="3" tint="-0.24994659260841701"/>
      <name val="Arial"/>
      <family val="2"/>
    </font>
    <font>
      <b/>
      <sz val="11"/>
      <name val="Arial"/>
      <family val="2"/>
    </font>
    <font>
      <sz val="12"/>
      <color indexed="64"/>
      <name val="Arial"/>
      <family val="2"/>
    </font>
    <font>
      <b/>
      <sz val="11"/>
      <color indexed="2"/>
      <name val="Arial"/>
      <family val="2"/>
    </font>
    <font>
      <b/>
      <sz val="10"/>
      <color theme="9" tint="-0.499984740745262"/>
      <name val="Arial"/>
      <family val="2"/>
    </font>
    <font>
      <b/>
      <sz val="9"/>
      <color theme="0"/>
      <name val="Arial"/>
      <family val="2"/>
    </font>
    <font>
      <b/>
      <sz val="8"/>
      <name val="Arial"/>
      <family val="2"/>
    </font>
    <font>
      <b/>
      <sz val="12"/>
      <color theme="0"/>
      <name val="Arial"/>
      <family val="2"/>
    </font>
    <font>
      <b/>
      <sz val="12"/>
      <color rgb="FF465866"/>
      <name val="Arial"/>
      <family val="2"/>
    </font>
    <font>
      <sz val="10"/>
      <color indexed="64"/>
      <name val="Arial"/>
      <family val="2"/>
    </font>
    <font>
      <vertAlign val="superscript"/>
      <sz val="12"/>
      <color theme="3" tint="-0.249977111117893"/>
      <name val="Arial"/>
      <family val="2"/>
    </font>
    <font>
      <b/>
      <vertAlign val="superscript"/>
      <sz val="12"/>
      <color theme="3" tint="-0.249977111117893"/>
      <name val="Arial"/>
      <family val="2"/>
    </font>
    <font>
      <vertAlign val="superscript"/>
      <sz val="9"/>
      <name val="Arial"/>
      <family val="2"/>
    </font>
    <font>
      <vertAlign val="superscript"/>
      <sz val="12"/>
      <color indexed="54"/>
      <name val="Arial"/>
      <family val="2"/>
    </font>
    <font>
      <b/>
      <vertAlign val="superscript"/>
      <sz val="12"/>
      <color indexed="54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65"/>
        <bgColor indexed="26"/>
      </patternFill>
    </fill>
    <fill>
      <patternFill patternType="solid">
        <fgColor rgb="FFF2F2F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rgb="FFF2F2F2"/>
        <bgColor indexed="26"/>
      </patternFill>
    </fill>
    <fill>
      <patternFill patternType="solid">
        <fgColor theme="0" tint="-4.9958800012207406E-2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DADADA"/>
        <bgColor theme="2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DADADA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theme="0" tint="-0.24994659260841701"/>
        <bgColor indexed="64"/>
      </patternFill>
    </fill>
  </fills>
  <borders count="93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4.9989318521683403E-2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EDEDED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/>
      <right/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indexed="22"/>
      </bottom>
      <diagonal/>
    </border>
    <border>
      <left style="thin">
        <color theme="0"/>
      </left>
      <right style="thin">
        <color theme="0" tint="-4.9989318521683403E-2"/>
      </right>
      <top style="thin">
        <color theme="0" tint="-4.9989318521683403E-2"/>
      </top>
      <bottom style="thin">
        <color indexed="22"/>
      </bottom>
      <diagonal/>
    </border>
    <border>
      <left/>
      <right/>
      <top/>
      <bottom style="thin">
        <color theme="0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/>
      <right style="thin">
        <color rgb="FFEDEDED"/>
      </right>
      <top style="thin">
        <color rgb="FFEDEDED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EDEDED"/>
      </left>
      <right/>
      <top/>
      <bottom style="thin">
        <color rgb="FFEDEDED"/>
      </bottom>
      <diagonal/>
    </border>
    <border>
      <left/>
      <right/>
      <top/>
      <bottom style="thin">
        <color rgb="FFEDEDED"/>
      </bottom>
      <diagonal/>
    </border>
    <border>
      <left/>
      <right style="thin">
        <color rgb="FFEDEDED"/>
      </right>
      <top/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4.9989318521683403E-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theme="0" tint="-4.9989318521683403E-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/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/>
      <diagonal/>
    </border>
    <border>
      <left style="thin">
        <color indexed="22"/>
      </left>
      <right/>
      <top style="thin">
        <color rgb="FFEDEDED"/>
      </top>
      <bottom style="thin">
        <color rgb="FFEDEDED"/>
      </bottom>
      <diagonal/>
    </border>
    <border>
      <left style="thin">
        <color theme="1"/>
      </left>
      <right/>
      <top/>
      <bottom style="thin">
        <color indexed="22"/>
      </bottom>
      <diagonal/>
    </border>
    <border>
      <left style="thin">
        <color theme="0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 tint="-4.9989318521683403E-2"/>
      </top>
      <bottom style="thin">
        <color indexed="22"/>
      </bottom>
      <diagonal/>
    </border>
    <border>
      <left style="thin">
        <color theme="1"/>
      </left>
      <right/>
      <top style="thin">
        <color theme="0" tint="-4.9989318521683403E-2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EDEDED"/>
      </left>
      <right style="thin">
        <color rgb="FFEDEDED"/>
      </right>
      <top style="thin">
        <color indexed="22"/>
      </top>
      <bottom/>
      <diagonal/>
    </border>
    <border>
      <left style="thin">
        <color rgb="FFEDEDED"/>
      </left>
      <right style="thin">
        <color rgb="FFEDEDED"/>
      </right>
      <top/>
      <bottom/>
      <diagonal/>
    </border>
    <border>
      <left style="thin">
        <color theme="1"/>
      </left>
      <right style="thin">
        <color theme="0" tint="-4.9989318521683403E-2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-0.14996795556505021"/>
      </left>
      <right style="thin">
        <color indexed="64"/>
      </right>
      <top/>
      <bottom style="thin">
        <color theme="1" tint="-0.149967955565050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theme="1" tint="-0.14996795556505021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 style="thin">
        <color theme="1" tint="-0.14996795556505021"/>
      </top>
      <bottom/>
      <diagonal/>
    </border>
    <border>
      <left style="thin">
        <color indexed="22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22"/>
      </right>
      <top/>
      <bottom style="thin">
        <color indexed="22"/>
      </bottom>
      <diagonal/>
    </border>
  </borders>
  <cellStyleXfs count="26">
    <xf numFmtId="0" fontId="0" fillId="0" borderId="1"/>
    <xf numFmtId="0" fontId="40" fillId="2" borderId="2"/>
    <xf numFmtId="0" fontId="1" fillId="3" borderId="3"/>
    <xf numFmtId="0" fontId="2" fillId="0" borderId="1"/>
    <xf numFmtId="0" fontId="3" fillId="0" borderId="1" applyNumberFormat="0" applyFill="0" applyBorder="0"/>
    <xf numFmtId="0" fontId="3" fillId="0" borderId="1"/>
    <xf numFmtId="0" fontId="40" fillId="0" borderId="1"/>
    <xf numFmtId="0" fontId="40" fillId="0" borderId="1"/>
    <xf numFmtId="9" fontId="40" fillId="0" borderId="1" applyFont="0" applyFill="0" applyBorder="0"/>
    <xf numFmtId="0" fontId="4" fillId="0" borderId="1" applyNumberFormat="0" applyFill="0" applyBorder="0"/>
    <xf numFmtId="43" fontId="5" fillId="0" borderId="1"/>
    <xf numFmtId="43" fontId="5" fillId="0" borderId="1"/>
    <xf numFmtId="164" fontId="40" fillId="0" borderId="1"/>
    <xf numFmtId="164" fontId="40" fillId="0" borderId="1"/>
    <xf numFmtId="164" fontId="40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  <xf numFmtId="43" fontId="5" fillId="0" borderId="1"/>
    <xf numFmtId="43" fontId="5" fillId="0" borderId="1"/>
    <xf numFmtId="164" fontId="40" fillId="0" borderId="1"/>
    <xf numFmtId="43" fontId="5" fillId="0" borderId="1"/>
    <xf numFmtId="164" fontId="40" fillId="0" borderId="1"/>
    <xf numFmtId="43" fontId="5" fillId="0" borderId="1" applyFont="0" applyFill="0" applyBorder="0"/>
    <xf numFmtId="43" fontId="5" fillId="0" borderId="1" applyFont="0" applyFill="0" applyBorder="0"/>
    <xf numFmtId="43" fontId="5" fillId="0" borderId="1" applyFont="0" applyFill="0" applyBorder="0"/>
  </cellStyleXfs>
  <cellXfs count="545">
    <xf numFmtId="0" fontId="0" fillId="0" borderId="1" xfId="0"/>
    <xf numFmtId="165" fontId="0" fillId="0" borderId="1" xfId="0" applyNumberFormat="1" applyAlignment="1">
      <alignment vertical="center"/>
    </xf>
    <xf numFmtId="165" fontId="6" fillId="0" borderId="1" xfId="0" applyNumberFormat="1" applyFont="1" applyAlignment="1">
      <alignment vertical="center"/>
    </xf>
    <xf numFmtId="0" fontId="0" fillId="4" borderId="1" xfId="0" applyFill="1"/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/>
    </xf>
    <xf numFmtId="165" fontId="9" fillId="5" borderId="8" xfId="0" applyNumberFormat="1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left" vertical="center"/>
    </xf>
    <xf numFmtId="166" fontId="10" fillId="0" borderId="2" xfId="0" applyNumberFormat="1" applyFont="1" applyBorder="1" applyAlignment="1">
      <alignment vertical="center"/>
    </xf>
    <xf numFmtId="167" fontId="10" fillId="0" borderId="2" xfId="0" applyNumberFormat="1" applyFont="1" applyBorder="1" applyAlignment="1">
      <alignment vertical="center"/>
    </xf>
    <xf numFmtId="165" fontId="11" fillId="0" borderId="2" xfId="0" applyNumberFormat="1" applyFont="1" applyBorder="1" applyAlignment="1">
      <alignment horizontal="left" vertical="center" indent="2"/>
    </xf>
    <xf numFmtId="165" fontId="11" fillId="0" borderId="2" xfId="0" applyNumberFormat="1" applyFont="1" applyBorder="1" applyAlignment="1">
      <alignment horizontal="left" vertical="center" indent="1"/>
    </xf>
    <xf numFmtId="165" fontId="11" fillId="0" borderId="2" xfId="0" applyNumberFormat="1" applyFont="1" applyBorder="1" applyAlignment="1">
      <alignment horizontal="left" vertical="center" indent="3"/>
    </xf>
    <xf numFmtId="165" fontId="12" fillId="7" borderId="2" xfId="0" applyNumberFormat="1" applyFont="1" applyFill="1" applyBorder="1" applyAlignment="1">
      <alignment horizontal="left" vertical="center"/>
    </xf>
    <xf numFmtId="166" fontId="12" fillId="7" borderId="9" xfId="0" applyNumberFormat="1" applyFont="1" applyFill="1" applyBorder="1" applyAlignment="1">
      <alignment vertical="center"/>
    </xf>
    <xf numFmtId="167" fontId="12" fillId="7" borderId="10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vertical="center"/>
    </xf>
    <xf numFmtId="2" fontId="13" fillId="5" borderId="16" xfId="0" applyNumberFormat="1" applyFont="1" applyFill="1" applyBorder="1" applyAlignment="1">
      <alignment horizontal="center" vertical="center"/>
    </xf>
    <xf numFmtId="165" fontId="12" fillId="8" borderId="18" xfId="0" applyNumberFormat="1" applyFont="1" applyFill="1" applyBorder="1" applyAlignment="1">
      <alignment horizontal="left" vertical="center" indent="1"/>
    </xf>
    <xf numFmtId="166" fontId="12" fillId="9" borderId="4" xfId="0" applyNumberFormat="1" applyFont="1" applyFill="1" applyBorder="1" applyAlignment="1">
      <alignment horizontal="center" vertical="center"/>
    </xf>
    <xf numFmtId="167" fontId="12" fillId="9" borderId="4" xfId="0" applyNumberFormat="1" applyFont="1" applyFill="1" applyBorder="1" applyAlignment="1">
      <alignment vertical="center"/>
    </xf>
    <xf numFmtId="167" fontId="12" fillId="10" borderId="4" xfId="0" applyNumberFormat="1" applyFont="1" applyFill="1" applyBorder="1" applyAlignment="1">
      <alignment vertical="center"/>
    </xf>
    <xf numFmtId="165" fontId="14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vertical="center"/>
    </xf>
    <xf numFmtId="165" fontId="6" fillId="4" borderId="19" xfId="0" applyNumberFormat="1" applyFont="1" applyFill="1" applyBorder="1" applyAlignment="1">
      <alignment vertical="center"/>
    </xf>
    <xf numFmtId="165" fontId="6" fillId="4" borderId="20" xfId="0" applyNumberFormat="1" applyFont="1" applyFill="1" applyBorder="1" applyAlignment="1">
      <alignment vertical="center"/>
    </xf>
    <xf numFmtId="168" fontId="8" fillId="4" borderId="20" xfId="0" applyNumberFormat="1" applyFont="1" applyFill="1" applyBorder="1" applyAlignment="1">
      <alignment vertical="center"/>
    </xf>
    <xf numFmtId="169" fontId="6" fillId="4" borderId="1" xfId="3" applyNumberFormat="1" applyFont="1" applyFill="1" applyAlignment="1">
      <alignment vertical="center"/>
    </xf>
    <xf numFmtId="170" fontId="6" fillId="4" borderId="1" xfId="3" applyNumberFormat="1" applyFont="1" applyFill="1" applyAlignment="1">
      <alignment vertical="center"/>
    </xf>
    <xf numFmtId="165" fontId="15" fillId="4" borderId="1" xfId="0" applyNumberFormat="1" applyFont="1" applyFill="1" applyAlignment="1">
      <alignment vertical="center"/>
    </xf>
    <xf numFmtId="165" fontId="9" fillId="4" borderId="1" xfId="0" applyNumberFormat="1" applyFont="1" applyFill="1" applyAlignment="1">
      <alignment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165" fontId="16" fillId="4" borderId="1" xfId="0" applyNumberFormat="1" applyFont="1" applyFill="1" applyAlignment="1">
      <alignment vertical="center"/>
    </xf>
    <xf numFmtId="165" fontId="17" fillId="4" borderId="1" xfId="0" applyNumberFormat="1" applyFont="1" applyFill="1" applyAlignment="1">
      <alignment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12" fillId="8" borderId="21" xfId="0" applyNumberFormat="1" applyFont="1" applyFill="1" applyBorder="1" applyAlignment="1">
      <alignment horizontal="left" vertical="center" indent="1"/>
    </xf>
    <xf numFmtId="167" fontId="12" fillId="8" borderId="21" xfId="0" applyNumberFormat="1" applyFont="1" applyFill="1" applyBorder="1" applyAlignment="1">
      <alignment horizontal="center" vertical="center"/>
    </xf>
    <xf numFmtId="167" fontId="12" fillId="8" borderId="21" xfId="0" applyNumberFormat="1" applyFont="1" applyFill="1" applyBorder="1" applyAlignment="1">
      <alignment vertical="center"/>
    </xf>
    <xf numFmtId="9" fontId="6" fillId="0" borderId="1" xfId="8" applyFont="1" applyBorder="1"/>
    <xf numFmtId="2" fontId="9" fillId="5" borderId="4" xfId="0" applyNumberFormat="1" applyFont="1" applyFill="1" applyBorder="1" applyAlignment="1">
      <alignment horizontal="center" vertical="center"/>
    </xf>
    <xf numFmtId="165" fontId="9" fillId="5" borderId="23" xfId="0" applyNumberFormat="1" applyFont="1" applyFill="1" applyBorder="1" applyAlignment="1">
      <alignment horizontal="center" vertical="center" wrapText="1"/>
    </xf>
    <xf numFmtId="165" fontId="9" fillId="5" borderId="24" xfId="0" applyNumberFormat="1" applyFont="1" applyFill="1" applyBorder="1" applyAlignment="1">
      <alignment horizontal="center" vertical="center"/>
    </xf>
    <xf numFmtId="165" fontId="9" fillId="5" borderId="25" xfId="0" applyNumberFormat="1" applyFont="1" applyFill="1" applyBorder="1" applyAlignment="1">
      <alignment horizontal="center" vertical="center"/>
    </xf>
    <xf numFmtId="165" fontId="6" fillId="4" borderId="26" xfId="0" applyNumberFormat="1" applyFont="1" applyFill="1" applyBorder="1" applyAlignment="1">
      <alignment vertical="center"/>
    </xf>
    <xf numFmtId="171" fontId="10" fillId="0" borderId="16" xfId="0" applyNumberFormat="1" applyFont="1" applyBorder="1" applyAlignment="1">
      <alignment vertical="center"/>
    </xf>
    <xf numFmtId="171" fontId="10" fillId="0" borderId="2" xfId="0" applyNumberFormat="1" applyFont="1" applyBorder="1" applyAlignment="1">
      <alignment vertical="center"/>
    </xf>
    <xf numFmtId="167" fontId="10" fillId="0" borderId="16" xfId="0" applyNumberFormat="1" applyFont="1" applyBorder="1" applyAlignment="1">
      <alignment vertical="center"/>
    </xf>
    <xf numFmtId="165" fontId="0" fillId="4" borderId="1" xfId="0" applyNumberFormat="1" applyFill="1" applyAlignment="1">
      <alignment vertical="center"/>
    </xf>
    <xf numFmtId="172" fontId="10" fillId="0" borderId="2" xfId="0" applyNumberFormat="1" applyFont="1" applyBorder="1" applyAlignment="1">
      <alignment vertical="center"/>
    </xf>
    <xf numFmtId="171" fontId="12" fillId="7" borderId="2" xfId="0" applyNumberFormat="1" applyFont="1" applyFill="1" applyBorder="1" applyAlignment="1">
      <alignment vertical="center"/>
    </xf>
    <xf numFmtId="167" fontId="12" fillId="7" borderId="4" xfId="0" applyNumberFormat="1" applyFont="1" applyFill="1" applyBorder="1" applyAlignment="1">
      <alignment vertical="center"/>
    </xf>
    <xf numFmtId="165" fontId="10" fillId="0" borderId="21" xfId="0" applyNumberFormat="1" applyFont="1" applyBorder="1" applyAlignment="1">
      <alignment horizontal="left" vertical="center"/>
    </xf>
    <xf numFmtId="171" fontId="10" fillId="0" borderId="21" xfId="0" applyNumberFormat="1" applyFont="1" applyBorder="1" applyAlignment="1">
      <alignment vertical="center"/>
    </xf>
    <xf numFmtId="167" fontId="10" fillId="0" borderId="21" xfId="0" applyNumberFormat="1" applyFont="1" applyBorder="1" applyAlignment="1">
      <alignment vertical="center"/>
    </xf>
    <xf numFmtId="165" fontId="10" fillId="0" borderId="4" xfId="0" applyNumberFormat="1" applyFont="1" applyBorder="1" applyAlignment="1">
      <alignment horizontal="left" vertical="center"/>
    </xf>
    <xf numFmtId="171" fontId="10" fillId="0" borderId="4" xfId="0" applyNumberFormat="1" applyFont="1" applyBorder="1" applyAlignment="1">
      <alignment vertical="center"/>
    </xf>
    <xf numFmtId="167" fontId="10" fillId="0" borderId="4" xfId="0" applyNumberFormat="1" applyFont="1" applyBorder="1" applyAlignment="1">
      <alignment vertical="center"/>
    </xf>
    <xf numFmtId="165" fontId="12" fillId="7" borderId="4" xfId="0" applyNumberFormat="1" applyFont="1" applyFill="1" applyBorder="1" applyAlignment="1">
      <alignment horizontal="left" vertical="center"/>
    </xf>
    <xf numFmtId="171" fontId="12" fillId="7" borderId="4" xfId="0" applyNumberFormat="1" applyFont="1" applyFill="1" applyBorder="1" applyAlignment="1">
      <alignment vertical="center"/>
    </xf>
    <xf numFmtId="165" fontId="12" fillId="8" borderId="4" xfId="0" applyNumberFormat="1" applyFont="1" applyFill="1" applyBorder="1" applyAlignment="1">
      <alignment horizontal="left" vertical="center" indent="1"/>
    </xf>
    <xf numFmtId="171" fontId="12" fillId="8" borderId="4" xfId="0" applyNumberFormat="1" applyFont="1" applyFill="1" applyBorder="1" applyAlignment="1">
      <alignment horizontal="center" vertical="center"/>
    </xf>
    <xf numFmtId="167" fontId="12" fillId="8" borderId="4" xfId="0" applyNumberFormat="1" applyFont="1" applyFill="1" applyBorder="1" applyAlignment="1">
      <alignment vertical="center"/>
    </xf>
    <xf numFmtId="171" fontId="6" fillId="4" borderId="1" xfId="0" applyNumberFormat="1" applyFont="1" applyFill="1" applyAlignment="1">
      <alignment horizontal="center" vertical="center"/>
    </xf>
    <xf numFmtId="167" fontId="6" fillId="4" borderId="1" xfId="0" applyNumberFormat="1" applyFont="1" applyFill="1" applyAlignment="1">
      <alignment vertical="center"/>
    </xf>
    <xf numFmtId="167" fontId="6" fillId="4" borderId="1" xfId="0" applyNumberFormat="1" applyFont="1" applyFill="1" applyAlignment="1">
      <alignment horizontal="right" vertical="center"/>
    </xf>
    <xf numFmtId="165" fontId="18" fillId="4" borderId="1" xfId="0" applyNumberFormat="1" applyFont="1" applyFill="1" applyAlignment="1">
      <alignment vertical="center"/>
    </xf>
    <xf numFmtId="165" fontId="6" fillId="4" borderId="1" xfId="0" applyNumberFormat="1" applyFont="1" applyFill="1" applyAlignment="1">
      <alignment horizontal="center" vertical="center"/>
    </xf>
    <xf numFmtId="165" fontId="9" fillId="5" borderId="31" xfId="0" applyNumberFormat="1" applyFont="1" applyFill="1" applyBorder="1" applyAlignment="1">
      <alignment horizontal="center" vertical="center"/>
    </xf>
    <xf numFmtId="165" fontId="9" fillId="5" borderId="32" xfId="0" applyNumberFormat="1" applyFont="1" applyFill="1" applyBorder="1" applyAlignment="1">
      <alignment horizontal="center" vertical="center"/>
    </xf>
    <xf numFmtId="165" fontId="9" fillId="5" borderId="33" xfId="0" applyNumberFormat="1" applyFont="1" applyFill="1" applyBorder="1" applyAlignment="1">
      <alignment horizontal="center" vertical="center"/>
    </xf>
    <xf numFmtId="165" fontId="9" fillId="5" borderId="34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Alignment="1">
      <alignment horizontal="center" vertical="center"/>
    </xf>
    <xf numFmtId="165" fontId="0" fillId="4" borderId="26" xfId="0" applyNumberFormat="1" applyFill="1" applyBorder="1" applyAlignment="1">
      <alignment vertical="center"/>
    </xf>
    <xf numFmtId="165" fontId="8" fillId="0" borderId="1" xfId="0" applyNumberFormat="1" applyFont="1" applyAlignment="1">
      <alignment vertical="center"/>
    </xf>
    <xf numFmtId="165" fontId="19" fillId="0" borderId="1" xfId="0" applyNumberFormat="1" applyFont="1" applyAlignment="1">
      <alignment vertical="center"/>
    </xf>
    <xf numFmtId="165" fontId="12" fillId="7" borderId="35" xfId="0" applyNumberFormat="1" applyFont="1" applyFill="1" applyBorder="1" applyAlignment="1">
      <alignment vertical="center"/>
    </xf>
    <xf numFmtId="167" fontId="12" fillId="7" borderId="2" xfId="0" applyNumberFormat="1" applyFont="1" applyFill="1" applyBorder="1" applyAlignment="1">
      <alignment horizontal="right" vertical="center"/>
    </xf>
    <xf numFmtId="167" fontId="12" fillId="7" borderId="36" xfId="0" applyNumberFormat="1" applyFont="1" applyFill="1" applyBorder="1" applyAlignment="1">
      <alignment horizontal="right" vertical="center"/>
    </xf>
    <xf numFmtId="171" fontId="12" fillId="7" borderId="2" xfId="0" applyNumberFormat="1" applyFont="1" applyFill="1" applyBorder="1" applyAlignment="1">
      <alignment horizontal="right" vertical="center"/>
    </xf>
    <xf numFmtId="171" fontId="12" fillId="7" borderId="17" xfId="0" applyNumberFormat="1" applyFont="1" applyFill="1" applyBorder="1" applyAlignment="1">
      <alignment horizontal="right" vertical="center"/>
    </xf>
    <xf numFmtId="167" fontId="12" fillId="7" borderId="17" xfId="0" applyNumberFormat="1" applyFont="1" applyFill="1" applyBorder="1" applyAlignment="1">
      <alignment horizontal="right" vertical="center"/>
    </xf>
    <xf numFmtId="165" fontId="19" fillId="4" borderId="1" xfId="0" applyNumberFormat="1" applyFont="1" applyFill="1" applyAlignment="1">
      <alignment horizontal="right" vertical="center"/>
    </xf>
    <xf numFmtId="165" fontId="10" fillId="0" borderId="2" xfId="0" applyNumberFormat="1" applyFont="1" applyBorder="1" applyAlignment="1">
      <alignment horizontal="left" vertical="center" indent="1"/>
    </xf>
    <xf numFmtId="167" fontId="10" fillId="0" borderId="2" xfId="0" applyNumberFormat="1" applyFont="1" applyBorder="1" applyAlignment="1">
      <alignment horizontal="right" vertical="center"/>
    </xf>
    <xf numFmtId="171" fontId="10" fillId="0" borderId="2" xfId="0" applyNumberFormat="1" applyFont="1" applyBorder="1" applyAlignment="1">
      <alignment horizontal="right" vertical="center"/>
    </xf>
    <xf numFmtId="165" fontId="12" fillId="7" borderId="2" xfId="0" applyNumberFormat="1" applyFont="1" applyFill="1" applyBorder="1" applyAlignment="1">
      <alignment vertical="center"/>
    </xf>
    <xf numFmtId="165" fontId="19" fillId="4" borderId="1" xfId="0" applyNumberFormat="1" applyFont="1" applyFill="1" applyAlignment="1">
      <alignment vertical="center"/>
    </xf>
    <xf numFmtId="167" fontId="12" fillId="7" borderId="9" xfId="0" applyNumberFormat="1" applyFont="1" applyFill="1" applyBorder="1" applyAlignment="1">
      <alignment horizontal="right" vertical="center"/>
    </xf>
    <xf numFmtId="171" fontId="12" fillId="7" borderId="9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Alignment="1">
      <alignment vertical="center"/>
    </xf>
    <xf numFmtId="165" fontId="12" fillId="8" borderId="37" xfId="0" applyNumberFormat="1" applyFont="1" applyFill="1" applyBorder="1" applyAlignment="1">
      <alignment vertical="center"/>
    </xf>
    <xf numFmtId="167" fontId="12" fillId="8" borderId="1" xfId="0" applyNumberFormat="1" applyFont="1" applyFill="1" applyAlignment="1">
      <alignment horizontal="right" vertical="center"/>
    </xf>
    <xf numFmtId="171" fontId="12" fillId="8" borderId="1" xfId="0" applyNumberFormat="1" applyFont="1" applyFill="1" applyAlignment="1">
      <alignment horizontal="right" vertical="center"/>
    </xf>
    <xf numFmtId="165" fontId="9" fillId="5" borderId="38" xfId="0" applyNumberFormat="1" applyFont="1" applyFill="1" applyBorder="1" applyAlignment="1">
      <alignment horizontal="center" vertical="center"/>
    </xf>
    <xf numFmtId="165" fontId="9" fillId="5" borderId="39" xfId="0" applyNumberFormat="1" applyFont="1" applyFill="1" applyBorder="1" applyAlignment="1">
      <alignment horizontal="center" vertical="center"/>
    </xf>
    <xf numFmtId="165" fontId="9" fillId="5" borderId="40" xfId="0" applyNumberFormat="1" applyFont="1" applyFill="1" applyBorder="1" applyAlignment="1">
      <alignment horizontal="center" vertical="center"/>
    </xf>
    <xf numFmtId="165" fontId="9" fillId="5" borderId="41" xfId="0" applyNumberFormat="1" applyFont="1" applyFill="1" applyBorder="1" applyAlignment="1">
      <alignment horizontal="center" vertical="center"/>
    </xf>
    <xf numFmtId="165" fontId="9" fillId="5" borderId="42" xfId="0" applyNumberFormat="1" applyFont="1" applyFill="1" applyBorder="1" applyAlignment="1">
      <alignment horizontal="center" vertical="center"/>
    </xf>
    <xf numFmtId="165" fontId="6" fillId="4" borderId="43" xfId="0" applyNumberFormat="1" applyFont="1" applyFill="1" applyBorder="1" applyAlignment="1">
      <alignment vertical="center"/>
    </xf>
    <xf numFmtId="165" fontId="5" fillId="0" borderId="1" xfId="0" applyNumberFormat="1" applyFont="1" applyAlignment="1">
      <alignment vertical="center"/>
    </xf>
    <xf numFmtId="165" fontId="20" fillId="0" borderId="2" xfId="0" applyNumberFormat="1" applyFont="1" applyBorder="1" applyAlignment="1">
      <alignment horizontal="left" vertical="center"/>
    </xf>
    <xf numFmtId="167" fontId="20" fillId="0" borderId="2" xfId="0" applyNumberFormat="1" applyFont="1" applyBorder="1" applyAlignment="1">
      <alignment vertical="center"/>
    </xf>
    <xf numFmtId="171" fontId="20" fillId="0" borderId="2" xfId="0" applyNumberFormat="1" applyFont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2"/>
    </xf>
    <xf numFmtId="165" fontId="20" fillId="11" borderId="2" xfId="0" applyNumberFormat="1" applyFont="1" applyFill="1" applyBorder="1" applyAlignment="1">
      <alignment horizontal="left" vertical="center"/>
    </xf>
    <xf numFmtId="167" fontId="20" fillId="11" borderId="2" xfId="0" applyNumberFormat="1" applyFont="1" applyFill="1" applyBorder="1" applyAlignment="1">
      <alignment vertical="center"/>
    </xf>
    <xf numFmtId="171" fontId="20" fillId="11" borderId="2" xfId="0" applyNumberFormat="1" applyFont="1" applyFill="1" applyBorder="1" applyAlignment="1">
      <alignment vertical="center"/>
    </xf>
    <xf numFmtId="165" fontId="21" fillId="0" borderId="2" xfId="0" applyNumberFormat="1" applyFont="1" applyBorder="1" applyAlignment="1">
      <alignment horizontal="left" vertical="center" indent="3"/>
    </xf>
    <xf numFmtId="165" fontId="20" fillId="12" borderId="2" xfId="0" applyNumberFormat="1" applyFont="1" applyFill="1" applyBorder="1" applyAlignment="1">
      <alignment horizontal="left" vertical="center"/>
    </xf>
    <xf numFmtId="165" fontId="22" fillId="7" borderId="2" xfId="0" applyNumberFormat="1" applyFont="1" applyFill="1" applyBorder="1" applyAlignment="1">
      <alignment horizontal="left" vertical="center"/>
    </xf>
    <xf numFmtId="167" fontId="22" fillId="7" borderId="2" xfId="0" applyNumberFormat="1" applyFont="1" applyFill="1" applyBorder="1" applyAlignment="1">
      <alignment vertical="center"/>
    </xf>
    <xf numFmtId="171" fontId="22" fillId="7" borderId="2" xfId="0" applyNumberFormat="1" applyFont="1" applyFill="1" applyBorder="1" applyAlignment="1">
      <alignment vertical="center"/>
    </xf>
    <xf numFmtId="167" fontId="22" fillId="7" borderId="2" xfId="0" applyNumberFormat="1" applyFont="1" applyFill="1" applyBorder="1" applyAlignment="1">
      <alignment horizontal="right" vertical="center"/>
    </xf>
    <xf numFmtId="165" fontId="22" fillId="7" borderId="44" xfId="0" applyNumberFormat="1" applyFont="1" applyFill="1" applyBorder="1" applyAlignment="1">
      <alignment horizontal="left" vertical="center"/>
    </xf>
    <xf numFmtId="167" fontId="22" fillId="7" borderId="44" xfId="0" applyNumberFormat="1" applyFont="1" applyFill="1" applyBorder="1" applyAlignment="1">
      <alignment vertical="center"/>
    </xf>
    <xf numFmtId="171" fontId="22" fillId="7" borderId="44" xfId="0" applyNumberFormat="1" applyFont="1" applyFill="1" applyBorder="1" applyAlignment="1">
      <alignment vertical="center"/>
    </xf>
    <xf numFmtId="167" fontId="22" fillId="7" borderId="44" xfId="0" applyNumberFormat="1" applyFont="1" applyFill="1" applyBorder="1" applyAlignment="1">
      <alignment horizontal="right" vertical="center"/>
    </xf>
    <xf numFmtId="165" fontId="22" fillId="8" borderId="4" xfId="0" applyNumberFormat="1" applyFont="1" applyFill="1" applyBorder="1" applyAlignment="1">
      <alignment horizontal="left" vertical="center" indent="1"/>
    </xf>
    <xf numFmtId="167" fontId="22" fillId="8" borderId="4" xfId="0" applyNumberFormat="1" applyFont="1" applyFill="1" applyBorder="1" applyAlignment="1">
      <alignment horizontal="center" vertical="center"/>
    </xf>
    <xf numFmtId="167" fontId="22" fillId="8" borderId="4" xfId="0" applyNumberFormat="1" applyFont="1" applyFill="1" applyBorder="1" applyAlignment="1">
      <alignment vertical="center"/>
    </xf>
    <xf numFmtId="171" fontId="22" fillId="8" borderId="4" xfId="0" applyNumberFormat="1" applyFont="1" applyFill="1" applyBorder="1" applyAlignment="1">
      <alignment vertical="center"/>
    </xf>
    <xf numFmtId="167" fontId="22" fillId="8" borderId="4" xfId="0" applyNumberFormat="1" applyFont="1" applyFill="1" applyBorder="1" applyAlignment="1">
      <alignment horizontal="right" vertical="center"/>
    </xf>
    <xf numFmtId="165" fontId="5" fillId="12" borderId="1" xfId="0" applyNumberFormat="1" applyFont="1" applyFill="1" applyAlignment="1">
      <alignment vertical="center"/>
    </xf>
    <xf numFmtId="0" fontId="5" fillId="0" borderId="1" xfId="0" applyFont="1"/>
    <xf numFmtId="165" fontId="14" fillId="0" borderId="1" xfId="0" applyNumberFormat="1" applyFont="1" applyAlignment="1">
      <alignment vertical="center"/>
    </xf>
    <xf numFmtId="168" fontId="5" fillId="12" borderId="1" xfId="0" applyNumberFormat="1" applyFont="1" applyFill="1" applyAlignment="1">
      <alignment vertical="center"/>
    </xf>
    <xf numFmtId="4" fontId="5" fillId="12" borderId="1" xfId="0" applyNumberFormat="1" applyFont="1" applyFill="1" applyAlignment="1">
      <alignment vertical="center"/>
    </xf>
    <xf numFmtId="173" fontId="5" fillId="12" borderId="1" xfId="0" applyNumberFormat="1" applyFont="1" applyFill="1" applyAlignment="1">
      <alignment vertical="center"/>
    </xf>
    <xf numFmtId="165" fontId="9" fillId="15" borderId="38" xfId="0" applyNumberFormat="1" applyFont="1" applyFill="1" applyBorder="1" applyAlignment="1">
      <alignment horizontal="center" vertical="center"/>
    </xf>
    <xf numFmtId="165" fontId="9" fillId="15" borderId="39" xfId="0" applyNumberFormat="1" applyFont="1" applyFill="1" applyBorder="1" applyAlignment="1">
      <alignment horizontal="center" vertical="center"/>
    </xf>
    <xf numFmtId="165" fontId="9" fillId="15" borderId="40" xfId="0" applyNumberFormat="1" applyFont="1" applyFill="1" applyBorder="1" applyAlignment="1">
      <alignment horizontal="center" vertical="center"/>
    </xf>
    <xf numFmtId="165" fontId="9" fillId="15" borderId="48" xfId="0" applyNumberFormat="1" applyFont="1" applyFill="1" applyBorder="1" applyAlignment="1">
      <alignment horizontal="center" vertical="center"/>
    </xf>
    <xf numFmtId="165" fontId="9" fillId="15" borderId="41" xfId="0" applyNumberFormat="1" applyFont="1" applyFill="1" applyBorder="1" applyAlignment="1">
      <alignment horizontal="center" vertical="center"/>
    </xf>
    <xf numFmtId="165" fontId="9" fillId="15" borderId="42" xfId="0" applyNumberFormat="1" applyFont="1" applyFill="1" applyBorder="1" applyAlignment="1">
      <alignment horizontal="center" vertical="center"/>
    </xf>
    <xf numFmtId="165" fontId="9" fillId="15" borderId="1" xfId="0" applyNumberFormat="1" applyFont="1" applyFill="1" applyAlignment="1">
      <alignment horizontal="center" vertical="center"/>
    </xf>
    <xf numFmtId="165" fontId="12" fillId="13" borderId="2" xfId="0" applyNumberFormat="1" applyFont="1" applyFill="1" applyBorder="1" applyAlignment="1">
      <alignment vertical="center"/>
    </xf>
    <xf numFmtId="167" fontId="12" fillId="13" borderId="2" xfId="0" applyNumberFormat="1" applyFont="1" applyFill="1" applyBorder="1" applyAlignment="1">
      <alignment horizontal="center" vertical="center"/>
    </xf>
    <xf numFmtId="171" fontId="12" fillId="13" borderId="2" xfId="0" applyNumberFormat="1" applyFont="1" applyFill="1" applyBorder="1" applyAlignment="1">
      <alignment horizontal="center" vertical="center"/>
    </xf>
    <xf numFmtId="165" fontId="24" fillId="0" borderId="2" xfId="0" applyNumberFormat="1" applyFont="1" applyBorder="1" applyAlignment="1">
      <alignment horizontal="left" vertical="center" indent="1"/>
    </xf>
    <xf numFmtId="167" fontId="24" fillId="0" borderId="2" xfId="0" applyNumberFormat="1" applyFont="1" applyBorder="1" applyAlignment="1">
      <alignment vertical="center"/>
    </xf>
    <xf numFmtId="171" fontId="24" fillId="0" borderId="2" xfId="0" applyNumberFormat="1" applyFont="1" applyBorder="1" applyAlignment="1">
      <alignment vertical="center"/>
    </xf>
    <xf numFmtId="167" fontId="24" fillId="0" borderId="2" xfId="0" applyNumberFormat="1" applyFont="1" applyBorder="1" applyAlignment="1">
      <alignment horizontal="center" vertical="center"/>
    </xf>
    <xf numFmtId="165" fontId="23" fillId="13" borderId="2" xfId="0" applyNumberFormat="1" applyFont="1" applyFill="1" applyBorder="1" applyAlignment="1">
      <alignment vertical="center"/>
    </xf>
    <xf numFmtId="167" fontId="23" fillId="13" borderId="2" xfId="0" applyNumberFormat="1" applyFont="1" applyFill="1" applyBorder="1" applyAlignment="1">
      <alignment horizontal="center" vertical="center"/>
    </xf>
    <xf numFmtId="171" fontId="23" fillId="13" borderId="2" xfId="0" applyNumberFormat="1" applyFont="1" applyFill="1" applyBorder="1" applyAlignment="1">
      <alignment horizontal="center" vertical="center"/>
    </xf>
    <xf numFmtId="165" fontId="23" fillId="8" borderId="21" xfId="0" applyNumberFormat="1" applyFont="1" applyFill="1" applyBorder="1" applyAlignment="1">
      <alignment vertical="center"/>
    </xf>
    <xf numFmtId="167" fontId="23" fillId="8" borderId="21" xfId="0" applyNumberFormat="1" applyFont="1" applyFill="1" applyBorder="1" applyAlignment="1">
      <alignment horizontal="center" vertical="center"/>
    </xf>
    <xf numFmtId="171" fontId="23" fillId="8" borderId="21" xfId="0" applyNumberFormat="1" applyFont="1" applyFill="1" applyBorder="1" applyAlignment="1">
      <alignment horizontal="center" vertical="center"/>
    </xf>
    <xf numFmtId="165" fontId="28" fillId="4" borderId="1" xfId="0" applyNumberFormat="1" applyFont="1" applyFill="1" applyAlignment="1">
      <alignment vertical="center"/>
    </xf>
    <xf numFmtId="165" fontId="24" fillId="4" borderId="1" xfId="0" applyNumberFormat="1" applyFont="1" applyFill="1" applyAlignment="1">
      <alignment vertical="center"/>
    </xf>
    <xf numFmtId="3" fontId="6" fillId="0" borderId="1" xfId="0" applyNumberFormat="1" applyFont="1" applyAlignment="1">
      <alignment horizontal="center" vertical="center"/>
    </xf>
    <xf numFmtId="165" fontId="0" fillId="0" borderId="49" xfId="0" applyNumberFormat="1" applyBorder="1" applyAlignment="1">
      <alignment vertical="center"/>
    </xf>
    <xf numFmtId="165" fontId="0" fillId="4" borderId="43" xfId="0" applyNumberFormat="1" applyFill="1" applyBorder="1" applyAlignment="1">
      <alignment vertical="center"/>
    </xf>
    <xf numFmtId="165" fontId="24" fillId="0" borderId="1" xfId="0" applyNumberFormat="1" applyFont="1" applyAlignment="1">
      <alignment vertical="center"/>
    </xf>
    <xf numFmtId="169" fontId="24" fillId="0" borderId="1" xfId="8" applyNumberFormat="1" applyFont="1" applyBorder="1" applyAlignment="1">
      <alignment vertical="center"/>
    </xf>
    <xf numFmtId="9" fontId="24" fillId="0" borderId="1" xfId="8" applyFont="1" applyBorder="1" applyAlignment="1">
      <alignment vertical="center"/>
    </xf>
    <xf numFmtId="165" fontId="0" fillId="0" borderId="43" xfId="0" applyNumberFormat="1" applyBorder="1" applyAlignment="1">
      <alignment vertical="center"/>
    </xf>
    <xf numFmtId="165" fontId="28" fillId="0" borderId="1" xfId="0" applyNumberFormat="1" applyFont="1" applyAlignment="1">
      <alignment vertical="center"/>
    </xf>
    <xf numFmtId="165" fontId="9" fillId="15" borderId="56" xfId="0" applyNumberFormat="1" applyFont="1" applyFill="1" applyBorder="1" applyAlignment="1">
      <alignment horizontal="center" vertical="center"/>
    </xf>
    <xf numFmtId="165" fontId="9" fillId="15" borderId="57" xfId="0" applyNumberFormat="1" applyFont="1" applyFill="1" applyBorder="1" applyAlignment="1">
      <alignment horizontal="center" vertical="center"/>
    </xf>
    <xf numFmtId="165" fontId="23" fillId="13" borderId="17" xfId="0" applyNumberFormat="1" applyFont="1" applyFill="1" applyBorder="1" applyAlignment="1">
      <alignment vertical="center"/>
    </xf>
    <xf numFmtId="165" fontId="23" fillId="13" borderId="59" xfId="0" applyNumberFormat="1" applyFont="1" applyFill="1" applyBorder="1" applyAlignment="1">
      <alignment vertical="center"/>
    </xf>
    <xf numFmtId="165" fontId="24" fillId="13" borderId="2" xfId="0" applyNumberFormat="1" applyFont="1" applyFill="1" applyBorder="1" applyAlignment="1">
      <alignment horizontal="left" vertical="center" indent="1"/>
    </xf>
    <xf numFmtId="167" fontId="24" fillId="13" borderId="2" xfId="0" applyNumberFormat="1" applyFont="1" applyFill="1" applyBorder="1" applyAlignment="1">
      <alignment horizontal="center" vertical="center"/>
    </xf>
    <xf numFmtId="167" fontId="24" fillId="13" borderId="2" xfId="0" applyNumberFormat="1" applyFont="1" applyFill="1" applyBorder="1" applyAlignment="1">
      <alignment vertical="center"/>
    </xf>
    <xf numFmtId="165" fontId="6" fillId="12" borderId="1" xfId="0" applyNumberFormat="1" applyFont="1" applyFill="1" applyAlignment="1">
      <alignment horizontal="right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57" xfId="0" applyNumberFormat="1" applyFont="1" applyFill="1" applyBorder="1" applyAlignment="1">
      <alignment horizontal="center" vertical="center"/>
    </xf>
    <xf numFmtId="165" fontId="9" fillId="16" borderId="41" xfId="0" applyNumberFormat="1" applyFont="1" applyFill="1" applyBorder="1" applyAlignment="1">
      <alignment horizontal="center" vertical="center"/>
    </xf>
    <xf numFmtId="165" fontId="9" fillId="16" borderId="42" xfId="0" applyNumberFormat="1" applyFont="1" applyFill="1" applyBorder="1" applyAlignment="1">
      <alignment horizontal="center" vertical="center"/>
    </xf>
    <xf numFmtId="165" fontId="9" fillId="16" borderId="1" xfId="0" applyNumberFormat="1" applyFont="1" applyFill="1" applyAlignment="1">
      <alignment horizontal="center" vertical="center"/>
    </xf>
    <xf numFmtId="165" fontId="29" fillId="13" borderId="2" xfId="0" applyNumberFormat="1" applyFont="1" applyFill="1" applyBorder="1" applyAlignment="1">
      <alignment vertical="center"/>
    </xf>
    <xf numFmtId="167" fontId="29" fillId="17" borderId="2" xfId="0" applyNumberFormat="1" applyFont="1" applyFill="1" applyBorder="1" applyAlignment="1">
      <alignment horizontal="center" vertical="center"/>
    </xf>
    <xf numFmtId="171" fontId="29" fillId="17" borderId="2" xfId="0" applyNumberFormat="1" applyFont="1" applyFill="1" applyBorder="1" applyAlignment="1">
      <alignment horizontal="center" vertical="center"/>
    </xf>
    <xf numFmtId="167" fontId="24" fillId="12" borderId="1" xfId="0" applyNumberFormat="1" applyFont="1" applyFill="1" applyAlignment="1">
      <alignment vertical="center"/>
    </xf>
    <xf numFmtId="167" fontId="5" fillId="12" borderId="1" xfId="0" applyNumberFormat="1" applyFont="1" applyFill="1" applyAlignment="1">
      <alignment vertical="center"/>
    </xf>
    <xf numFmtId="167" fontId="23" fillId="17" borderId="2" xfId="0" applyNumberFormat="1" applyFont="1" applyFill="1" applyBorder="1" applyAlignment="1">
      <alignment horizontal="center" vertical="center"/>
    </xf>
    <xf numFmtId="171" fontId="23" fillId="17" borderId="2" xfId="0" applyNumberFormat="1" applyFont="1" applyFill="1" applyBorder="1" applyAlignment="1">
      <alignment horizontal="center" vertical="center"/>
    </xf>
    <xf numFmtId="167" fontId="24" fillId="18" borderId="2" xfId="0" applyNumberFormat="1" applyFont="1" applyFill="1" applyBorder="1" applyAlignment="1">
      <alignment vertical="center"/>
    </xf>
    <xf numFmtId="167" fontId="24" fillId="18" borderId="2" xfId="0" applyNumberFormat="1" applyFont="1" applyFill="1" applyBorder="1" applyAlignment="1">
      <alignment horizontal="center" vertical="center"/>
    </xf>
    <xf numFmtId="171" fontId="24" fillId="18" borderId="2" xfId="0" applyNumberFormat="1" applyFont="1" applyFill="1" applyBorder="1" applyAlignment="1">
      <alignment vertical="center"/>
    </xf>
    <xf numFmtId="172" fontId="23" fillId="13" borderId="2" xfId="0" applyNumberFormat="1" applyFont="1" applyFill="1" applyBorder="1" applyAlignment="1">
      <alignment horizontal="center" vertical="center"/>
    </xf>
    <xf numFmtId="172" fontId="24" fillId="0" borderId="2" xfId="0" applyNumberFormat="1" applyFont="1" applyBorder="1" applyAlignment="1">
      <alignment horizontal="center" vertical="center"/>
    </xf>
    <xf numFmtId="172" fontId="24" fillId="13" borderId="2" xfId="0" applyNumberFormat="1" applyFont="1" applyFill="1" applyBorder="1" applyAlignment="1">
      <alignment horizontal="center" vertical="center"/>
    </xf>
    <xf numFmtId="165" fontId="24" fillId="14" borderId="2" xfId="0" applyNumberFormat="1" applyFont="1" applyFill="1" applyBorder="1" applyAlignment="1">
      <alignment horizontal="left" vertical="center" indent="1"/>
    </xf>
    <xf numFmtId="172" fontId="23" fillId="8" borderId="21" xfId="0" applyNumberFormat="1" applyFont="1" applyFill="1" applyBorder="1" applyAlignment="1">
      <alignment horizontal="center" vertical="center"/>
    </xf>
    <xf numFmtId="165" fontId="28" fillId="12" borderId="1" xfId="0" applyNumberFormat="1" applyFont="1" applyFill="1" applyAlignment="1">
      <alignment vertical="center"/>
    </xf>
    <xf numFmtId="165" fontId="24" fillId="12" borderId="1" xfId="0" applyNumberFormat="1" applyFont="1" applyFill="1" applyAlignment="1">
      <alignment vertical="center"/>
    </xf>
    <xf numFmtId="165" fontId="14" fillId="12" borderId="1" xfId="0" applyNumberFormat="1" applyFont="1" applyFill="1" applyAlignment="1">
      <alignment vertical="center"/>
    </xf>
    <xf numFmtId="0" fontId="25" fillId="0" borderId="1" xfId="0" applyFont="1"/>
    <xf numFmtId="165" fontId="6" fillId="12" borderId="1" xfId="0" applyNumberFormat="1" applyFont="1" applyFill="1" applyAlignment="1">
      <alignment vertical="center"/>
    </xf>
    <xf numFmtId="167" fontId="9" fillId="16" borderId="4" xfId="0" applyNumberFormat="1" applyFont="1" applyFill="1" applyBorder="1" applyAlignment="1">
      <alignment horizontal="center" vertical="center"/>
    </xf>
    <xf numFmtId="165" fontId="6" fillId="13" borderId="21" xfId="0" applyNumberFormat="1" applyFont="1" applyFill="1" applyBorder="1" applyAlignment="1">
      <alignment vertical="center"/>
    </xf>
    <xf numFmtId="167" fontId="6" fillId="17" borderId="21" xfId="0" applyNumberFormat="1" applyFont="1" applyFill="1" applyBorder="1" applyAlignment="1">
      <alignment horizontal="center" vertical="center"/>
    </xf>
    <xf numFmtId="171" fontId="6" fillId="17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/>
    </xf>
    <xf numFmtId="167" fontId="24" fillId="0" borderId="4" xfId="0" applyNumberFormat="1" applyFont="1" applyBorder="1" applyAlignment="1">
      <alignment vertical="center"/>
    </xf>
    <xf numFmtId="167" fontId="24" fillId="0" borderId="4" xfId="0" applyNumberFormat="1" applyFont="1" applyBorder="1" applyAlignment="1">
      <alignment horizontal="center" vertical="center"/>
    </xf>
    <xf numFmtId="171" fontId="24" fillId="0" borderId="4" xfId="0" applyNumberFormat="1" applyFont="1" applyBorder="1" applyAlignment="1">
      <alignment vertical="center"/>
    </xf>
    <xf numFmtId="165" fontId="24" fillId="0" borderId="30" xfId="0" applyNumberFormat="1" applyFont="1" applyBorder="1" applyAlignment="1">
      <alignment horizontal="left" vertical="center"/>
    </xf>
    <xf numFmtId="167" fontId="24" fillId="0" borderId="30" xfId="0" applyNumberFormat="1" applyFont="1" applyBorder="1" applyAlignment="1">
      <alignment vertical="center"/>
    </xf>
    <xf numFmtId="171" fontId="24" fillId="0" borderId="30" xfId="0" applyNumberFormat="1" applyFont="1" applyBorder="1" applyAlignment="1">
      <alignment vertical="center"/>
    </xf>
    <xf numFmtId="167" fontId="24" fillId="0" borderId="30" xfId="0" applyNumberFormat="1" applyFont="1" applyBorder="1" applyAlignment="1">
      <alignment horizontal="center" vertical="center"/>
    </xf>
    <xf numFmtId="174" fontId="24" fillId="12" borderId="1" xfId="0" applyNumberFormat="1" applyFont="1" applyFill="1" applyAlignment="1">
      <alignment vertical="center"/>
    </xf>
    <xf numFmtId="174" fontId="5" fillId="12" borderId="1" xfId="0" applyNumberFormat="1" applyFont="1" applyFill="1" applyAlignment="1">
      <alignment vertical="center"/>
    </xf>
    <xf numFmtId="175" fontId="5" fillId="12" borderId="1" xfId="0" applyNumberFormat="1" applyFont="1" applyFill="1" applyAlignment="1">
      <alignment vertical="center"/>
    </xf>
    <xf numFmtId="165" fontId="9" fillId="19" borderId="57" xfId="0" applyNumberFormat="1" applyFont="1" applyFill="1" applyBorder="1" applyAlignment="1">
      <alignment horizontal="center" vertical="center"/>
    </xf>
    <xf numFmtId="165" fontId="9" fillId="19" borderId="31" xfId="0" applyNumberFormat="1" applyFont="1" applyFill="1" applyBorder="1" applyAlignment="1">
      <alignment horizontal="center" vertical="center"/>
    </xf>
    <xf numFmtId="165" fontId="9" fillId="19" borderId="42" xfId="0" applyNumberFormat="1" applyFont="1" applyFill="1" applyBorder="1" applyAlignment="1">
      <alignment horizontal="center" vertical="center"/>
    </xf>
    <xf numFmtId="165" fontId="9" fillId="19" borderId="1" xfId="0" applyNumberFormat="1" applyFont="1" applyFill="1" applyAlignment="1">
      <alignment horizontal="center" vertical="center"/>
    </xf>
    <xf numFmtId="165" fontId="9" fillId="19" borderId="41" xfId="0" applyNumberFormat="1" applyFont="1" applyFill="1" applyBorder="1" applyAlignment="1">
      <alignment horizontal="center" vertical="center"/>
    </xf>
    <xf numFmtId="165" fontId="22" fillId="13" borderId="2" xfId="0" applyNumberFormat="1" applyFont="1" applyFill="1" applyBorder="1" applyAlignment="1">
      <alignment vertical="center"/>
    </xf>
    <xf numFmtId="167" fontId="22" fillId="13" borderId="2" xfId="0" applyNumberFormat="1" applyFont="1" applyFill="1" applyBorder="1" applyAlignment="1">
      <alignment horizontal="center" vertical="center"/>
    </xf>
    <xf numFmtId="171" fontId="22" fillId="13" borderId="2" xfId="0" applyNumberFormat="1" applyFont="1" applyFill="1" applyBorder="1" applyAlignment="1">
      <alignment horizontal="center" vertical="center"/>
    </xf>
    <xf numFmtId="171" fontId="24" fillId="0" borderId="2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165" fontId="23" fillId="8" borderId="4" xfId="0" applyNumberFormat="1" applyFont="1" applyFill="1" applyBorder="1" applyAlignment="1">
      <alignment vertical="center"/>
    </xf>
    <xf numFmtId="167" fontId="23" fillId="8" borderId="4" xfId="0" applyNumberFormat="1" applyFont="1" applyFill="1" applyBorder="1" applyAlignment="1">
      <alignment horizontal="center" vertical="center"/>
    </xf>
    <xf numFmtId="171" fontId="23" fillId="8" borderId="4" xfId="0" applyNumberFormat="1" applyFont="1" applyFill="1" applyBorder="1" applyAlignment="1">
      <alignment horizontal="center" vertical="center"/>
    </xf>
    <xf numFmtId="165" fontId="9" fillId="21" borderId="57" xfId="0" applyNumberFormat="1" applyFont="1" applyFill="1" applyBorder="1" applyAlignment="1">
      <alignment horizontal="center" vertical="center"/>
    </xf>
    <xf numFmtId="165" fontId="9" fillId="21" borderId="26" xfId="0" applyNumberFormat="1" applyFont="1" applyFill="1" applyBorder="1" applyAlignment="1">
      <alignment horizontal="center" vertical="center"/>
    </xf>
    <xf numFmtId="165" fontId="9" fillId="21" borderId="42" xfId="0" applyNumberFormat="1" applyFont="1" applyFill="1" applyBorder="1" applyAlignment="1">
      <alignment horizontal="center" vertical="center"/>
    </xf>
    <xf numFmtId="165" fontId="9" fillId="21" borderId="1" xfId="0" applyNumberFormat="1" applyFont="1" applyFill="1" applyAlignment="1">
      <alignment horizontal="center" vertical="center"/>
    </xf>
    <xf numFmtId="165" fontId="9" fillId="21" borderId="41" xfId="0" applyNumberFormat="1" applyFont="1" applyFill="1" applyBorder="1" applyAlignment="1">
      <alignment horizontal="center" vertical="center"/>
    </xf>
    <xf numFmtId="165" fontId="23" fillId="0" borderId="2" xfId="0" applyNumberFormat="1" applyFont="1" applyBorder="1" applyAlignment="1">
      <alignment vertical="center"/>
    </xf>
    <xf numFmtId="165" fontId="9" fillId="21" borderId="48" xfId="0" applyNumberFormat="1" applyFont="1" applyFill="1" applyBorder="1" applyAlignment="1">
      <alignment horizontal="center" vertical="center"/>
    </xf>
    <xf numFmtId="165" fontId="30" fillId="12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vertical="center"/>
    </xf>
    <xf numFmtId="176" fontId="5" fillId="12" borderId="1" xfId="0" applyNumberFormat="1" applyFont="1" applyFill="1" applyAlignment="1">
      <alignment vertical="center"/>
    </xf>
    <xf numFmtId="165" fontId="9" fillId="20" borderId="38" xfId="0" applyNumberFormat="1" applyFont="1" applyFill="1" applyBorder="1" applyAlignment="1">
      <alignment horizontal="center" vertical="center"/>
    </xf>
    <xf numFmtId="165" fontId="9" fillId="20" borderId="39" xfId="0" applyNumberFormat="1" applyFont="1" applyFill="1" applyBorder="1" applyAlignment="1">
      <alignment horizontal="center" vertical="center"/>
    </xf>
    <xf numFmtId="165" fontId="9" fillId="21" borderId="39" xfId="0" applyNumberFormat="1" applyFont="1" applyFill="1" applyBorder="1" applyAlignment="1">
      <alignment horizontal="center" vertical="center"/>
    </xf>
    <xf numFmtId="165" fontId="9" fillId="20" borderId="40" xfId="0" applyNumberFormat="1" applyFont="1" applyFill="1" applyBorder="1" applyAlignment="1">
      <alignment horizontal="center" vertical="center"/>
    </xf>
    <xf numFmtId="165" fontId="9" fillId="20" borderId="26" xfId="0" applyNumberFormat="1" applyFont="1" applyFill="1" applyBorder="1" applyAlignment="1">
      <alignment horizontal="center" vertical="center"/>
    </xf>
    <xf numFmtId="165" fontId="9" fillId="20" borderId="42" xfId="0" applyNumberFormat="1" applyFont="1" applyFill="1" applyBorder="1" applyAlignment="1">
      <alignment horizontal="center" vertical="center"/>
    </xf>
    <xf numFmtId="165" fontId="9" fillId="20" borderId="1" xfId="0" applyNumberFormat="1" applyFont="1" applyFill="1" applyAlignment="1">
      <alignment horizontal="center" vertical="center"/>
    </xf>
    <xf numFmtId="10" fontId="0" fillId="4" borderId="1" xfId="8" applyNumberFormat="1" applyFont="1" applyFill="1" applyBorder="1"/>
    <xf numFmtId="0" fontId="5" fillId="12" borderId="1" xfId="0" applyFont="1" applyFill="1"/>
    <xf numFmtId="165" fontId="9" fillId="22" borderId="38" xfId="0" applyNumberFormat="1" applyFont="1" applyFill="1" applyBorder="1" applyAlignment="1">
      <alignment horizontal="center" vertical="center"/>
    </xf>
    <xf numFmtId="165" fontId="9" fillId="22" borderId="39" xfId="0" applyNumberFormat="1" applyFont="1" applyFill="1" applyBorder="1" applyAlignment="1">
      <alignment horizontal="center" vertical="center"/>
    </xf>
    <xf numFmtId="165" fontId="9" fillId="22" borderId="40" xfId="0" applyNumberFormat="1" applyFont="1" applyFill="1" applyBorder="1" applyAlignment="1">
      <alignment horizontal="center" vertical="center"/>
    </xf>
    <xf numFmtId="165" fontId="9" fillId="22" borderId="48" xfId="0" applyNumberFormat="1" applyFont="1" applyFill="1" applyBorder="1" applyAlignment="1">
      <alignment horizontal="center" vertical="center"/>
    </xf>
    <xf numFmtId="165" fontId="9" fillId="22" borderId="41" xfId="0" applyNumberFormat="1" applyFont="1" applyFill="1" applyBorder="1" applyAlignment="1">
      <alignment horizontal="center" vertical="center"/>
    </xf>
    <xf numFmtId="165" fontId="9" fillId="22" borderId="42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Alignment="1">
      <alignment horizontal="center" vertical="center"/>
    </xf>
    <xf numFmtId="167" fontId="24" fillId="12" borderId="2" xfId="0" applyNumberFormat="1" applyFont="1" applyFill="1" applyBorder="1" applyAlignment="1">
      <alignment vertical="center"/>
    </xf>
    <xf numFmtId="165" fontId="25" fillId="0" borderId="2" xfId="0" applyNumberFormat="1" applyFont="1" applyBorder="1" applyAlignment="1">
      <alignment horizontal="left" vertical="center" indent="1"/>
    </xf>
    <xf numFmtId="9" fontId="24" fillId="12" borderId="1" xfId="8" applyFont="1" applyFill="1" applyBorder="1"/>
    <xf numFmtId="165" fontId="9" fillId="22" borderId="4" xfId="0" applyNumberFormat="1" applyFont="1" applyFill="1" applyBorder="1" applyAlignment="1">
      <alignment horizontal="center" vertical="center"/>
    </xf>
    <xf numFmtId="165" fontId="9" fillId="22" borderId="66" xfId="0" applyNumberFormat="1" applyFont="1" applyFill="1" applyBorder="1" applyAlignment="1">
      <alignment horizontal="center" vertical="center"/>
    </xf>
    <xf numFmtId="167" fontId="6" fillId="13" borderId="21" xfId="0" applyNumberFormat="1" applyFont="1" applyFill="1" applyBorder="1" applyAlignment="1">
      <alignment horizontal="center" vertical="center"/>
    </xf>
    <xf numFmtId="165" fontId="24" fillId="0" borderId="4" xfId="0" applyNumberFormat="1" applyFont="1" applyBorder="1" applyAlignment="1">
      <alignment horizontal="left" vertical="center" indent="1"/>
    </xf>
    <xf numFmtId="171" fontId="23" fillId="0" borderId="2" xfId="0" applyNumberFormat="1" applyFont="1" applyBorder="1" applyAlignment="1">
      <alignment horizontal="center" vertical="center"/>
    </xf>
    <xf numFmtId="165" fontId="24" fillId="0" borderId="30" xfId="0" applyNumberFormat="1" applyFont="1" applyBorder="1" applyAlignment="1">
      <alignment horizontal="left" vertical="center" indent="1"/>
    </xf>
    <xf numFmtId="167" fontId="24" fillId="12" borderId="30" xfId="0" applyNumberFormat="1" applyFont="1" applyFill="1" applyBorder="1" applyAlignment="1">
      <alignment horizontal="center" vertical="center"/>
    </xf>
    <xf numFmtId="167" fontId="24" fillId="12" borderId="30" xfId="0" applyNumberFormat="1" applyFont="1" applyFill="1" applyBorder="1" applyAlignment="1">
      <alignment vertical="center"/>
    </xf>
    <xf numFmtId="173" fontId="24" fillId="12" borderId="1" xfId="0" applyNumberFormat="1" applyFont="1" applyFill="1" applyAlignment="1">
      <alignment vertical="center"/>
    </xf>
    <xf numFmtId="10" fontId="5" fillId="12" borderId="1" xfId="8" applyNumberFormat="1" applyFont="1" applyFill="1" applyBorder="1"/>
    <xf numFmtId="165" fontId="9" fillId="22" borderId="57" xfId="0" applyNumberFormat="1" applyFont="1" applyFill="1" applyBorder="1" applyAlignment="1">
      <alignment horizontal="center" vertical="center"/>
    </xf>
    <xf numFmtId="167" fontId="24" fillId="4" borderId="2" xfId="0" applyNumberFormat="1" applyFont="1" applyFill="1" applyBorder="1" applyAlignment="1">
      <alignment vertical="center"/>
    </xf>
    <xf numFmtId="171" fontId="24" fillId="4" borderId="2" xfId="0" applyNumberFormat="1" applyFont="1" applyFill="1" applyBorder="1" applyAlignment="1">
      <alignment vertical="center"/>
    </xf>
    <xf numFmtId="169" fontId="24" fillId="12" borderId="1" xfId="8" applyNumberFormat="1" applyFont="1" applyFill="1" applyBorder="1"/>
    <xf numFmtId="165" fontId="9" fillId="23" borderId="4" xfId="0" applyNumberFormat="1" applyFont="1" applyFill="1" applyBorder="1" applyAlignment="1">
      <alignment horizontal="center" vertical="center"/>
    </xf>
    <xf numFmtId="165" fontId="9" fillId="23" borderId="57" xfId="0" applyNumberFormat="1" applyFont="1" applyFill="1" applyBorder="1" applyAlignment="1">
      <alignment horizontal="center" vertical="center"/>
    </xf>
    <xf numFmtId="165" fontId="9" fillId="23" borderId="26" xfId="0" applyNumberFormat="1" applyFont="1" applyFill="1" applyBorder="1" applyAlignment="1">
      <alignment horizontal="center" vertical="center"/>
    </xf>
    <xf numFmtId="165" fontId="9" fillId="23" borderId="41" xfId="0" applyNumberFormat="1" applyFont="1" applyFill="1" applyBorder="1" applyAlignment="1">
      <alignment horizontal="center" vertical="center"/>
    </xf>
    <xf numFmtId="165" fontId="9" fillId="23" borderId="42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Alignment="1">
      <alignment horizontal="center" vertical="center"/>
    </xf>
    <xf numFmtId="165" fontId="23" fillId="8" borderId="1" xfId="0" applyNumberFormat="1" applyFont="1" applyFill="1" applyAlignment="1">
      <alignment vertical="center"/>
    </xf>
    <xf numFmtId="167" fontId="23" fillId="24" borderId="1" xfId="0" applyNumberFormat="1" applyFont="1" applyFill="1" applyAlignment="1">
      <alignment horizontal="center" vertical="center"/>
    </xf>
    <xf numFmtId="171" fontId="23" fillId="24" borderId="1" xfId="0" applyNumberFormat="1" applyFont="1" applyFill="1" applyAlignment="1">
      <alignment horizontal="center" vertical="center"/>
    </xf>
    <xf numFmtId="172" fontId="24" fillId="4" borderId="2" xfId="0" applyNumberFormat="1" applyFont="1" applyFill="1" applyBorder="1" applyAlignment="1">
      <alignment horizontal="center" vertical="center"/>
    </xf>
    <xf numFmtId="9" fontId="5" fillId="12" borderId="1" xfId="8" applyFont="1" applyFill="1" applyBorder="1"/>
    <xf numFmtId="169" fontId="5" fillId="12" borderId="1" xfId="8" applyNumberFormat="1" applyFont="1" applyFill="1" applyBorder="1"/>
    <xf numFmtId="0" fontId="6" fillId="12" borderId="1" xfId="0" applyFont="1" applyFill="1"/>
    <xf numFmtId="165" fontId="8" fillId="12" borderId="1" xfId="0" applyNumberFormat="1" applyFont="1" applyFill="1" applyAlignment="1">
      <alignment vertical="center"/>
    </xf>
    <xf numFmtId="165" fontId="9" fillId="23" borderId="38" xfId="0" applyNumberFormat="1" applyFont="1" applyFill="1" applyBorder="1" applyAlignment="1">
      <alignment horizontal="center" vertical="center"/>
    </xf>
    <xf numFmtId="165" fontId="9" fillId="23" borderId="39" xfId="0" applyNumberFormat="1" applyFont="1" applyFill="1" applyBorder="1" applyAlignment="1">
      <alignment horizontal="center" vertical="center"/>
    </xf>
    <xf numFmtId="165" fontId="9" fillId="23" borderId="40" xfId="0" applyNumberFormat="1" applyFont="1" applyFill="1" applyBorder="1" applyAlignment="1">
      <alignment horizontal="center" vertical="center"/>
    </xf>
    <xf numFmtId="165" fontId="9" fillId="23" borderId="48" xfId="0" applyNumberFormat="1" applyFont="1" applyFill="1" applyBorder="1" applyAlignment="1">
      <alignment horizontal="center" vertical="center"/>
    </xf>
    <xf numFmtId="165" fontId="9" fillId="22" borderId="68" xfId="0" applyNumberFormat="1" applyFont="1" applyFill="1" applyBorder="1" applyAlignment="1">
      <alignment horizontal="center" vertical="center"/>
    </xf>
    <xf numFmtId="177" fontId="5" fillId="12" borderId="1" xfId="0" applyNumberFormat="1" applyFont="1" applyFill="1"/>
    <xf numFmtId="170" fontId="6" fillId="12" borderId="1" xfId="0" applyNumberFormat="1" applyFont="1" applyFill="1"/>
    <xf numFmtId="178" fontId="5" fillId="12" borderId="1" xfId="0" applyNumberFormat="1" applyFont="1" applyFill="1"/>
    <xf numFmtId="165" fontId="9" fillId="23" borderId="66" xfId="0" applyNumberFormat="1" applyFont="1" applyFill="1" applyBorder="1" applyAlignment="1">
      <alignment horizontal="center" vertical="center"/>
    </xf>
    <xf numFmtId="165" fontId="12" fillId="13" borderId="30" xfId="0" applyNumberFormat="1" applyFont="1" applyFill="1" applyBorder="1" applyAlignment="1">
      <alignment vertical="center"/>
    </xf>
    <xf numFmtId="167" fontId="24" fillId="4" borderId="2" xfId="0" applyNumberFormat="1" applyFont="1" applyFill="1" applyBorder="1" applyAlignment="1">
      <alignment horizontal="center" vertical="center"/>
    </xf>
    <xf numFmtId="169" fontId="24" fillId="4" borderId="1" xfId="3" applyNumberFormat="1" applyFont="1" applyFill="1" applyAlignment="1">
      <alignment vertical="center"/>
    </xf>
    <xf numFmtId="171" fontId="6" fillId="13" borderId="21" xfId="0" applyNumberFormat="1" applyFont="1" applyFill="1" applyBorder="1" applyAlignment="1">
      <alignment horizontal="center" vertical="center"/>
    </xf>
    <xf numFmtId="165" fontId="31" fillId="13" borderId="2" xfId="0" applyNumberFormat="1" applyFont="1" applyFill="1" applyBorder="1" applyAlignment="1">
      <alignment vertical="center"/>
    </xf>
    <xf numFmtId="167" fontId="31" fillId="13" borderId="2" xfId="0" applyNumberFormat="1" applyFont="1" applyFill="1" applyBorder="1" applyAlignment="1">
      <alignment horizontal="center" vertical="center"/>
    </xf>
    <xf numFmtId="171" fontId="31" fillId="13" borderId="2" xfId="0" applyNumberFormat="1" applyFont="1" applyFill="1" applyBorder="1" applyAlignment="1">
      <alignment horizontal="center" vertical="center"/>
    </xf>
    <xf numFmtId="4" fontId="24" fillId="4" borderId="1" xfId="0" applyNumberFormat="1" applyFont="1" applyFill="1" applyAlignment="1">
      <alignment vertical="center"/>
    </xf>
    <xf numFmtId="165" fontId="5" fillId="12" borderId="1" xfId="0" applyNumberFormat="1" applyFont="1" applyFill="1" applyAlignment="1">
      <alignment horizontal="center" vertical="center"/>
    </xf>
    <xf numFmtId="165" fontId="9" fillId="16" borderId="66" xfId="0" applyNumberFormat="1" applyFont="1" applyFill="1" applyBorder="1" applyAlignment="1">
      <alignment horizontal="center" vertical="center"/>
    </xf>
    <xf numFmtId="167" fontId="24" fillId="12" borderId="4" xfId="0" applyNumberFormat="1" applyFont="1" applyFill="1" applyBorder="1" applyAlignment="1">
      <alignment vertical="center"/>
    </xf>
    <xf numFmtId="167" fontId="24" fillId="12" borderId="4" xfId="0" applyNumberFormat="1" applyFont="1" applyFill="1" applyBorder="1" applyAlignment="1">
      <alignment horizontal="center" vertical="center"/>
    </xf>
    <xf numFmtId="171" fontId="24" fillId="12" borderId="30" xfId="0" applyNumberFormat="1" applyFont="1" applyFill="1" applyBorder="1" applyAlignment="1">
      <alignment vertical="center"/>
    </xf>
    <xf numFmtId="10" fontId="24" fillId="12" borderId="1" xfId="8" applyNumberFormat="1" applyFont="1" applyFill="1" applyBorder="1"/>
    <xf numFmtId="165" fontId="9" fillId="26" borderId="4" xfId="0" applyNumberFormat="1" applyFont="1" applyFill="1" applyBorder="1" applyAlignment="1">
      <alignment horizontal="center" vertical="center"/>
    </xf>
    <xf numFmtId="165" fontId="9" fillId="26" borderId="57" xfId="0" applyNumberFormat="1" applyFont="1" applyFill="1" applyBorder="1" applyAlignment="1">
      <alignment horizontal="center" vertical="center"/>
    </xf>
    <xf numFmtId="165" fontId="9" fillId="26" borderId="48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Alignment="1">
      <alignment horizontal="center" vertical="center"/>
    </xf>
    <xf numFmtId="165" fontId="9" fillId="26" borderId="41" xfId="0" applyNumberFormat="1" applyFont="1" applyFill="1" applyBorder="1" applyAlignment="1">
      <alignment horizontal="center" vertical="center"/>
    </xf>
    <xf numFmtId="165" fontId="9" fillId="26" borderId="42" xfId="0" applyNumberFormat="1" applyFont="1" applyFill="1" applyBorder="1" applyAlignment="1">
      <alignment horizontal="center" vertical="center"/>
    </xf>
    <xf numFmtId="165" fontId="9" fillId="26" borderId="66" xfId="0" applyNumberFormat="1" applyFont="1" applyFill="1" applyBorder="1" applyAlignment="1">
      <alignment horizontal="center" vertical="center"/>
    </xf>
    <xf numFmtId="0" fontId="26" fillId="0" borderId="1" xfId="0" applyFont="1" applyAlignment="1">
      <alignment horizontal="left"/>
    </xf>
    <xf numFmtId="165" fontId="12" fillId="13" borderId="4" xfId="0" applyNumberFormat="1" applyFont="1" applyFill="1" applyBorder="1" applyAlignment="1">
      <alignment vertical="center"/>
    </xf>
    <xf numFmtId="167" fontId="24" fillId="12" borderId="2" xfId="0" applyNumberFormat="1" applyFont="1" applyFill="1" applyBorder="1" applyAlignment="1">
      <alignment horizontal="center" vertical="center"/>
    </xf>
    <xf numFmtId="171" fontId="24" fillId="12" borderId="2" xfId="0" applyNumberFormat="1" applyFont="1" applyFill="1" applyBorder="1" applyAlignment="1">
      <alignment vertical="center"/>
    </xf>
    <xf numFmtId="165" fontId="23" fillId="17" borderId="2" xfId="0" applyNumberFormat="1" applyFont="1" applyFill="1" applyBorder="1" applyAlignment="1">
      <alignment vertical="center"/>
    </xf>
    <xf numFmtId="167" fontId="23" fillId="27" borderId="21" xfId="0" applyNumberFormat="1" applyFont="1" applyFill="1" applyBorder="1" applyAlignment="1">
      <alignment horizontal="center" vertical="center"/>
    </xf>
    <xf numFmtId="171" fontId="23" fillId="27" borderId="21" xfId="0" applyNumberFormat="1" applyFont="1" applyFill="1" applyBorder="1" applyAlignment="1">
      <alignment horizontal="center" vertical="center"/>
    </xf>
    <xf numFmtId="165" fontId="10" fillId="12" borderId="1" xfId="0" applyNumberFormat="1" applyFont="1" applyFill="1" applyAlignment="1">
      <alignment vertical="center"/>
    </xf>
    <xf numFmtId="165" fontId="9" fillId="28" borderId="57" xfId="0" applyNumberFormat="1" applyFont="1" applyFill="1" applyBorder="1" applyAlignment="1">
      <alignment horizontal="center" vertical="center"/>
    </xf>
    <xf numFmtId="165" fontId="9" fillId="28" borderId="57" xfId="0" applyNumberFormat="1" applyFont="1" applyFill="1" applyBorder="1" applyAlignment="1">
      <alignment horizontal="center" vertical="center" wrapText="1"/>
    </xf>
    <xf numFmtId="165" fontId="9" fillId="28" borderId="48" xfId="0" applyNumberFormat="1" applyFont="1" applyFill="1" applyBorder="1" applyAlignment="1">
      <alignment horizontal="center" vertical="center"/>
    </xf>
    <xf numFmtId="165" fontId="9" fillId="28" borderId="1" xfId="0" applyNumberFormat="1" applyFont="1" applyFill="1" applyAlignment="1">
      <alignment horizontal="center" vertical="center"/>
    </xf>
    <xf numFmtId="165" fontId="9" fillId="28" borderId="42" xfId="0" applyNumberFormat="1" applyFont="1" applyFill="1" applyBorder="1" applyAlignment="1">
      <alignment horizontal="center" vertical="center"/>
    </xf>
    <xf numFmtId="165" fontId="9" fillId="28" borderId="4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Alignment="1">
      <alignment vertical="center"/>
    </xf>
    <xf numFmtId="165" fontId="25" fillId="12" borderId="1" xfId="0" applyNumberFormat="1" applyFont="1" applyFill="1" applyAlignment="1">
      <alignment horizontal="right" vertical="center"/>
    </xf>
    <xf numFmtId="165" fontId="9" fillId="16" borderId="26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66" xfId="0" applyNumberFormat="1" applyFont="1" applyFill="1" applyBorder="1" applyAlignment="1">
      <alignment horizontal="center" vertical="center"/>
    </xf>
    <xf numFmtId="167" fontId="6" fillId="17" borderId="53" xfId="0" applyNumberFormat="1" applyFont="1" applyFill="1" applyBorder="1" applyAlignment="1">
      <alignment horizontal="center" vertical="center"/>
    </xf>
    <xf numFmtId="171" fontId="24" fillId="0" borderId="4" xfId="0" applyNumberFormat="1" applyFont="1" applyBorder="1" applyAlignment="1">
      <alignment horizontal="center" vertical="center"/>
    </xf>
    <xf numFmtId="167" fontId="24" fillId="0" borderId="46" xfId="0" applyNumberFormat="1" applyFont="1" applyBorder="1" applyAlignment="1">
      <alignment vertical="center"/>
    </xf>
    <xf numFmtId="171" fontId="23" fillId="0" borderId="4" xfId="0" applyNumberFormat="1" applyFont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vertical="center"/>
    </xf>
    <xf numFmtId="171" fontId="24" fillId="12" borderId="30" xfId="0" applyNumberFormat="1" applyFont="1" applyFill="1" applyBorder="1" applyAlignment="1">
      <alignment horizontal="center" vertical="center"/>
    </xf>
    <xf numFmtId="167" fontId="24" fillId="12" borderId="50" xfId="0" applyNumberFormat="1" applyFont="1" applyFill="1" applyBorder="1" applyAlignment="1">
      <alignment vertical="center"/>
    </xf>
    <xf numFmtId="4" fontId="14" fillId="12" borderId="1" xfId="0" applyNumberFormat="1" applyFont="1" applyFill="1" applyAlignment="1">
      <alignment vertical="center"/>
    </xf>
    <xf numFmtId="165" fontId="23" fillId="13" borderId="4" xfId="0" applyNumberFormat="1" applyFont="1" applyFill="1" applyBorder="1" applyAlignment="1">
      <alignment vertical="center"/>
    </xf>
    <xf numFmtId="171" fontId="24" fillId="0" borderId="30" xfId="0" applyNumberFormat="1" applyFont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66" xfId="0" applyNumberFormat="1" applyFont="1" applyFill="1" applyBorder="1" applyAlignment="1">
      <alignment horizontal="center" vertical="center"/>
    </xf>
    <xf numFmtId="171" fontId="24" fillId="12" borderId="4" xfId="0" applyNumberFormat="1" applyFont="1" applyFill="1" applyBorder="1" applyAlignment="1">
      <alignment horizontal="center" vertical="center"/>
    </xf>
    <xf numFmtId="167" fontId="12" fillId="18" borderId="2" xfId="0" applyNumberFormat="1" applyFont="1" applyFill="1" applyBorder="1" applyAlignment="1">
      <alignment horizontal="center" vertical="center"/>
    </xf>
    <xf numFmtId="171" fontId="12" fillId="18" borderId="2" xfId="0" applyNumberFormat="1" applyFont="1" applyFill="1" applyBorder="1" applyAlignment="1">
      <alignment horizontal="center" vertical="center"/>
    </xf>
    <xf numFmtId="171" fontId="23" fillId="0" borderId="30" xfId="0" applyNumberFormat="1" applyFont="1" applyBorder="1" applyAlignment="1">
      <alignment horizontal="center" vertical="center"/>
    </xf>
    <xf numFmtId="165" fontId="32" fillId="0" borderId="1" xfId="2" applyNumberFormat="1" applyFont="1" applyFill="1" applyBorder="1" applyAlignment="1">
      <alignment vertical="center"/>
    </xf>
    <xf numFmtId="165" fontId="36" fillId="6" borderId="74" xfId="2" applyNumberFormat="1" applyFont="1" applyFill="1" applyBorder="1" applyAlignment="1">
      <alignment horizontal="center" vertical="center"/>
    </xf>
    <xf numFmtId="165" fontId="36" fillId="6" borderId="75" xfId="2" applyNumberFormat="1" applyFont="1" applyFill="1" applyBorder="1" applyAlignment="1">
      <alignment horizontal="center" vertical="center"/>
    </xf>
    <xf numFmtId="165" fontId="36" fillId="6" borderId="76" xfId="2" applyNumberFormat="1" applyFont="1" applyFill="1" applyBorder="1" applyAlignment="1">
      <alignment horizontal="center" vertical="center" wrapText="1"/>
    </xf>
    <xf numFmtId="165" fontId="36" fillId="6" borderId="76" xfId="2" applyNumberFormat="1" applyFont="1" applyFill="1" applyBorder="1" applyAlignment="1">
      <alignment horizontal="center" vertical="center"/>
    </xf>
    <xf numFmtId="165" fontId="36" fillId="6" borderId="75" xfId="2" applyNumberFormat="1" applyFont="1" applyFill="1" applyBorder="1" applyAlignment="1">
      <alignment horizontal="center" vertical="center" wrapText="1"/>
    </xf>
    <xf numFmtId="165" fontId="32" fillId="0" borderId="43" xfId="2" applyNumberFormat="1" applyFont="1" applyFill="1" applyBorder="1" applyAlignment="1">
      <alignment vertical="center"/>
    </xf>
    <xf numFmtId="165" fontId="10" fillId="12" borderId="36" xfId="2" applyNumberFormat="1" applyFont="1" applyFill="1" applyBorder="1" applyAlignment="1">
      <alignment horizontal="right" vertical="center"/>
    </xf>
    <xf numFmtId="165" fontId="10" fillId="12" borderId="2" xfId="2" applyNumberFormat="1" applyFont="1" applyFill="1" applyBorder="1" applyAlignment="1">
      <alignment vertical="center"/>
    </xf>
    <xf numFmtId="165" fontId="10" fillId="0" borderId="2" xfId="2" applyNumberFormat="1" applyFont="1" applyFill="1" applyBorder="1" applyAlignment="1">
      <alignment vertical="center"/>
    </xf>
    <xf numFmtId="165" fontId="10" fillId="12" borderId="2" xfId="5" applyNumberFormat="1" applyFont="1" applyFill="1" applyBorder="1" applyAlignment="1">
      <alignment horizontal="right" vertical="center"/>
    </xf>
    <xf numFmtId="165" fontId="10" fillId="12" borderId="80" xfId="2" applyNumberFormat="1" applyFont="1" applyFill="1" applyBorder="1" applyAlignment="1">
      <alignment horizontal="right" vertical="center"/>
    </xf>
    <xf numFmtId="165" fontId="10" fillId="12" borderId="36" xfId="2" applyNumberFormat="1" applyFont="1" applyFill="1" applyBorder="1" applyAlignment="1">
      <alignment vertical="center"/>
    </xf>
    <xf numFmtId="165" fontId="10" fillId="0" borderId="1" xfId="2" applyNumberFormat="1" applyFont="1" applyFill="1" applyBorder="1" applyAlignment="1">
      <alignment vertical="center"/>
    </xf>
    <xf numFmtId="165" fontId="10" fillId="12" borderId="81" xfId="2" applyNumberFormat="1" applyFont="1" applyFill="1" applyBorder="1" applyAlignment="1">
      <alignment vertical="center"/>
    </xf>
    <xf numFmtId="165" fontId="10" fillId="12" borderId="9" xfId="2" applyNumberFormat="1" applyFont="1" applyFill="1" applyBorder="1" applyAlignment="1">
      <alignment vertical="center"/>
    </xf>
    <xf numFmtId="165" fontId="10" fillId="0" borderId="9" xfId="2" applyNumberFormat="1" applyFont="1" applyFill="1" applyBorder="1" applyAlignment="1">
      <alignment vertical="center"/>
    </xf>
    <xf numFmtId="49" fontId="10" fillId="0" borderId="60" xfId="2" applyNumberFormat="1" applyFont="1" applyFill="1" applyBorder="1" applyAlignment="1">
      <alignment horizontal="center" vertical="center"/>
    </xf>
    <xf numFmtId="165" fontId="10" fillId="12" borderId="9" xfId="5" applyNumberFormat="1" applyFont="1" applyFill="1" applyBorder="1" applyAlignment="1">
      <alignment horizontal="right" vertical="center"/>
    </xf>
    <xf numFmtId="165" fontId="10" fillId="0" borderId="85" xfId="5" applyNumberFormat="1" applyFont="1" applyBorder="1" applyAlignment="1">
      <alignment horizontal="right" vertical="center"/>
    </xf>
    <xf numFmtId="165" fontId="10" fillId="12" borderId="86" xfId="5" applyNumberFormat="1" applyFont="1" applyFill="1" applyBorder="1" applyAlignment="1">
      <alignment horizontal="right" vertical="center"/>
    </xf>
    <xf numFmtId="165" fontId="10" fillId="0" borderId="86" xfId="5" applyNumberFormat="1" applyFont="1" applyBorder="1" applyAlignment="1">
      <alignment horizontal="right" vertical="center"/>
    </xf>
    <xf numFmtId="165" fontId="10" fillId="0" borderId="86" xfId="2" applyNumberFormat="1" applyFont="1" applyFill="1" applyBorder="1" applyAlignment="1">
      <alignment vertical="center"/>
    </xf>
    <xf numFmtId="165" fontId="10" fillId="0" borderId="36" xfId="5" applyNumberFormat="1" applyFont="1" applyBorder="1" applyAlignment="1">
      <alignment horizontal="right" vertical="center"/>
    </xf>
    <xf numFmtId="165" fontId="10" fillId="0" borderId="36" xfId="2" applyNumberFormat="1" applyFont="1" applyFill="1" applyBorder="1" applyAlignment="1">
      <alignment vertical="center"/>
    </xf>
    <xf numFmtId="165" fontId="10" fillId="0" borderId="81" xfId="2" applyNumberFormat="1" applyFont="1" applyFill="1" applyBorder="1" applyAlignment="1">
      <alignment vertical="center"/>
    </xf>
    <xf numFmtId="165" fontId="10" fillId="0" borderId="36" xfId="2" applyNumberFormat="1" applyFont="1" applyFill="1" applyBorder="1" applyAlignment="1">
      <alignment horizontal="right" vertical="center"/>
    </xf>
    <xf numFmtId="165" fontId="10" fillId="0" borderId="2" xfId="5" applyNumberFormat="1" applyFont="1" applyBorder="1" applyAlignment="1">
      <alignment horizontal="right" vertical="center"/>
    </xf>
    <xf numFmtId="165" fontId="10" fillId="0" borderId="81" xfId="2" applyNumberFormat="1" applyFont="1" applyFill="1" applyBorder="1" applyAlignment="1">
      <alignment horizontal="right" vertical="center"/>
    </xf>
    <xf numFmtId="165" fontId="10" fillId="0" borderId="9" xfId="5" applyNumberFormat="1" applyFont="1" applyBorder="1" applyAlignment="1">
      <alignment horizontal="right" vertical="center"/>
    </xf>
    <xf numFmtId="165" fontId="10" fillId="0" borderId="2" xfId="9" applyNumberFormat="1" applyFont="1" applyBorder="1" applyAlignment="1">
      <alignment vertical="center"/>
    </xf>
    <xf numFmtId="165" fontId="34" fillId="0" borderId="1" xfId="2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horizontal="left" vertical="center" wrapText="1"/>
    </xf>
    <xf numFmtId="165" fontId="6" fillId="0" borderId="1" xfId="2" applyNumberFormat="1" applyFont="1" applyFill="1" applyBorder="1" applyAlignment="1">
      <alignment vertical="center"/>
    </xf>
    <xf numFmtId="165" fontId="7" fillId="0" borderId="1" xfId="2" applyNumberFormat="1" applyFont="1" applyFill="1" applyBorder="1" applyAlignment="1">
      <alignment vertical="center"/>
    </xf>
    <xf numFmtId="49" fontId="39" fillId="32" borderId="2" xfId="2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vertical="center"/>
    </xf>
    <xf numFmtId="1" fontId="27" fillId="4" borderId="1" xfId="21" applyNumberFormat="1" applyFont="1" applyFill="1" applyAlignment="1">
      <alignment horizontal="left" indent="3"/>
    </xf>
    <xf numFmtId="165" fontId="27" fillId="12" borderId="1" xfId="14" applyNumberFormat="1" applyFont="1" applyFill="1" applyAlignment="1">
      <alignment horizontal="right"/>
    </xf>
    <xf numFmtId="165" fontId="33" fillId="12" borderId="1" xfId="0" applyNumberFormat="1" applyFont="1" applyFill="1"/>
    <xf numFmtId="1" fontId="27" fillId="4" borderId="71" xfId="21" applyNumberFormat="1" applyFont="1" applyFill="1" applyBorder="1" applyAlignment="1">
      <alignment horizontal="left" indent="3"/>
    </xf>
    <xf numFmtId="165" fontId="27" fillId="12" borderId="71" xfId="14" applyNumberFormat="1" applyFont="1" applyFill="1" applyBorder="1" applyAlignment="1">
      <alignment horizontal="right"/>
    </xf>
    <xf numFmtId="165" fontId="37" fillId="4" borderId="1" xfId="1" applyNumberFormat="1" applyFont="1" applyFill="1" applyBorder="1" applyAlignment="1">
      <alignment vertical="center"/>
    </xf>
    <xf numFmtId="165" fontId="37" fillId="0" borderId="1" xfId="2" applyNumberFormat="1" applyFont="1" applyFill="1" applyBorder="1" applyAlignment="1">
      <alignment vertical="center" wrapText="1"/>
    </xf>
    <xf numFmtId="165" fontId="20" fillId="4" borderId="2" xfId="2" applyNumberFormat="1" applyFont="1" applyFill="1" applyBorder="1" applyAlignment="1">
      <alignment horizontal="right" vertical="center"/>
    </xf>
    <xf numFmtId="165" fontId="20" fillId="4" borderId="2" xfId="5" applyNumberFormat="1" applyFont="1" applyFill="1" applyBorder="1" applyAlignment="1">
      <alignment horizontal="right" vertical="center"/>
    </xf>
    <xf numFmtId="165" fontId="20" fillId="4" borderId="2" xfId="2" applyNumberFormat="1" applyFont="1" applyFill="1" applyBorder="1" applyAlignment="1">
      <alignment vertical="center"/>
    </xf>
    <xf numFmtId="165" fontId="6" fillId="0" borderId="1" xfId="0" quotePrefix="1" applyNumberFormat="1" applyFont="1" applyAlignment="1">
      <alignment vertical="center"/>
    </xf>
    <xf numFmtId="165" fontId="3" fillId="0" borderId="1" xfId="4" applyNumberFormat="1" applyBorder="1" applyAlignment="1">
      <alignment vertical="center"/>
    </xf>
    <xf numFmtId="165" fontId="21" fillId="11" borderId="2" xfId="0" applyNumberFormat="1" applyFont="1" applyFill="1" applyBorder="1" applyAlignment="1">
      <alignment horizontal="left" vertical="center" indent="2"/>
    </xf>
    <xf numFmtId="4" fontId="37" fillId="0" borderId="1" xfId="2" applyNumberFormat="1" applyFont="1" applyFill="1" applyBorder="1" applyAlignment="1">
      <alignment vertical="center"/>
    </xf>
    <xf numFmtId="167" fontId="5" fillId="0" borderId="2" xfId="0" applyNumberFormat="1" applyFont="1" applyBorder="1" applyAlignment="1">
      <alignment vertical="center"/>
    </xf>
    <xf numFmtId="167" fontId="5" fillId="0" borderId="2" xfId="0" applyNumberFormat="1" applyFont="1" applyBorder="1" applyAlignment="1">
      <alignment horizontal="center" vertical="center"/>
    </xf>
    <xf numFmtId="172" fontId="5" fillId="0" borderId="2" xfId="0" applyNumberFormat="1" applyFont="1" applyBorder="1" applyAlignment="1">
      <alignment horizontal="center" vertical="center"/>
    </xf>
    <xf numFmtId="165" fontId="0" fillId="0" borderId="1" xfId="0" applyNumberFormat="1" applyAlignment="1">
      <alignment horizontal="center" vertical="center"/>
    </xf>
    <xf numFmtId="165" fontId="46" fillId="0" borderId="1" xfId="0" applyNumberFormat="1" applyFont="1"/>
    <xf numFmtId="165" fontId="46" fillId="0" borderId="1" xfId="0" applyNumberFormat="1" applyFont="1" applyAlignment="1">
      <alignment horizontal="center" vertical="center"/>
    </xf>
    <xf numFmtId="165" fontId="47" fillId="0" borderId="1" xfId="0" applyNumberFormat="1" applyFont="1" applyAlignment="1">
      <alignment horizontal="center" vertical="center"/>
    </xf>
    <xf numFmtId="165" fontId="35" fillId="0" borderId="1" xfId="0" applyNumberFormat="1" applyFont="1" applyAlignment="1">
      <alignment horizontal="center" vertical="center"/>
    </xf>
    <xf numFmtId="165" fontId="6" fillId="0" borderId="1" xfId="0" applyNumberFormat="1" applyFont="1" applyAlignment="1">
      <alignment horizontal="left" vertical="center"/>
    </xf>
    <xf numFmtId="165" fontId="6" fillId="0" borderId="1" xfId="0" applyNumberFormat="1" applyFont="1" applyAlignment="1">
      <alignment horizontal="right" vertical="center"/>
    </xf>
    <xf numFmtId="165" fontId="9" fillId="5" borderId="2" xfId="0" applyNumberFormat="1" applyFont="1" applyFill="1" applyBorder="1" applyAlignment="1">
      <alignment horizontal="center" vertical="center"/>
    </xf>
    <xf numFmtId="2" fontId="9" fillId="5" borderId="2" xfId="0" applyNumberFormat="1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165" fontId="6" fillId="0" borderId="1" xfId="0" applyNumberFormat="1" applyFont="1" applyAlignment="1">
      <alignment horizontal="center" vertical="center"/>
    </xf>
    <xf numFmtId="165" fontId="9" fillId="5" borderId="4" xfId="0" applyNumberFormat="1" applyFont="1" applyFill="1" applyBorder="1" applyAlignment="1">
      <alignment horizontal="center" vertical="center"/>
    </xf>
    <xf numFmtId="165" fontId="9" fillId="5" borderId="22" xfId="0" applyNumberFormat="1" applyFont="1" applyFill="1" applyBorder="1" applyAlignment="1">
      <alignment horizontal="center" vertical="center"/>
    </xf>
    <xf numFmtId="2" fontId="9" fillId="5" borderId="4" xfId="0" applyNumberFormat="1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165" fontId="9" fillId="5" borderId="21" xfId="0" applyNumberFormat="1" applyFont="1" applyFill="1" applyBorder="1" applyAlignment="1">
      <alignment horizontal="center" vertical="center"/>
    </xf>
    <xf numFmtId="49" fontId="9" fillId="5" borderId="21" xfId="0" applyNumberFormat="1" applyFont="1" applyFill="1" applyBorder="1" applyAlignment="1">
      <alignment horizontal="center" vertical="center"/>
    </xf>
    <xf numFmtId="165" fontId="13" fillId="5" borderId="2" xfId="0" applyNumberFormat="1" applyFont="1" applyFill="1" applyBorder="1" applyAlignment="1">
      <alignment horizontal="center" vertical="center"/>
    </xf>
    <xf numFmtId="49" fontId="13" fillId="5" borderId="11" xfId="0" applyNumberFormat="1" applyFont="1" applyFill="1" applyBorder="1" applyAlignment="1">
      <alignment horizontal="center" vertical="center"/>
    </xf>
    <xf numFmtId="49" fontId="13" fillId="5" borderId="12" xfId="0" applyNumberFormat="1" applyFont="1" applyFill="1" applyBorder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 vertical="center"/>
    </xf>
    <xf numFmtId="165" fontId="13" fillId="5" borderId="14" xfId="0" applyNumberFormat="1" applyFont="1" applyFill="1" applyBorder="1" applyAlignment="1">
      <alignment horizontal="center" vertical="center"/>
    </xf>
    <xf numFmtId="165" fontId="13" fillId="5" borderId="15" xfId="0" applyNumberFormat="1" applyFont="1" applyFill="1" applyBorder="1" applyAlignment="1">
      <alignment horizontal="center" vertical="center"/>
    </xf>
    <xf numFmtId="2" fontId="13" fillId="5" borderId="2" xfId="0" applyNumberFormat="1" applyFont="1" applyFill="1" applyBorder="1" applyAlignment="1">
      <alignment horizontal="center" vertical="center"/>
    </xf>
    <xf numFmtId="165" fontId="13" fillId="5" borderId="17" xfId="0" applyNumberFormat="1" applyFont="1" applyFill="1" applyBorder="1" applyAlignment="1">
      <alignment horizontal="center" vertical="center"/>
    </xf>
    <xf numFmtId="2" fontId="9" fillId="6" borderId="4" xfId="0" applyNumberFormat="1" applyFont="1" applyFill="1" applyBorder="1" applyAlignment="1">
      <alignment horizontal="center" vertical="center"/>
    </xf>
    <xf numFmtId="165" fontId="9" fillId="5" borderId="6" xfId="0" applyNumberFormat="1" applyFont="1" applyFill="1" applyBorder="1" applyAlignment="1">
      <alignment horizontal="center" vertical="center"/>
    </xf>
    <xf numFmtId="165" fontId="14" fillId="4" borderId="1" xfId="0" applyNumberFormat="1" applyFont="1" applyFill="1" applyAlignment="1">
      <alignment horizontal="left" vertical="center" wrapText="1"/>
    </xf>
    <xf numFmtId="165" fontId="13" fillId="4" borderId="1" xfId="0" applyNumberFormat="1" applyFont="1" applyFill="1" applyAlignment="1">
      <alignment horizontal="center" vertical="center"/>
    </xf>
    <xf numFmtId="165" fontId="9" fillId="5" borderId="30" xfId="0" applyNumberFormat="1" applyFont="1" applyFill="1" applyBorder="1" applyAlignment="1">
      <alignment horizontal="center" vertical="center"/>
    </xf>
    <xf numFmtId="165" fontId="9" fillId="5" borderId="27" xfId="0" applyNumberFormat="1" applyFont="1" applyFill="1" applyBorder="1" applyAlignment="1">
      <alignment horizontal="center" vertical="center"/>
    </xf>
    <xf numFmtId="165" fontId="9" fillId="5" borderId="28" xfId="0" applyNumberFormat="1" applyFont="1" applyFill="1" applyBorder="1" applyAlignment="1">
      <alignment horizontal="center" vertical="center"/>
    </xf>
    <xf numFmtId="165" fontId="9" fillId="5" borderId="29" xfId="0" applyNumberFormat="1" applyFont="1" applyFill="1" applyBorder="1" applyAlignment="1">
      <alignment horizontal="center" vertical="center"/>
    </xf>
    <xf numFmtId="3" fontId="6" fillId="4" borderId="1" xfId="0" applyNumberFormat="1" applyFont="1" applyFill="1" applyAlignment="1">
      <alignment horizontal="center" vertical="center"/>
    </xf>
    <xf numFmtId="165" fontId="9" fillId="15" borderId="4" xfId="0" applyNumberFormat="1" applyFont="1" applyFill="1" applyBorder="1" applyAlignment="1">
      <alignment horizontal="center" vertical="center"/>
    </xf>
    <xf numFmtId="165" fontId="9" fillId="15" borderId="27" xfId="0" applyNumberFormat="1" applyFont="1" applyFill="1" applyBorder="1" applyAlignment="1">
      <alignment horizontal="center" vertical="center"/>
    </xf>
    <xf numFmtId="165" fontId="9" fillId="15" borderId="22" xfId="0" applyNumberFormat="1" applyFont="1" applyFill="1" applyBorder="1" applyAlignment="1">
      <alignment horizontal="center" vertical="center"/>
    </xf>
    <xf numFmtId="4" fontId="9" fillId="15" borderId="5" xfId="0" applyNumberFormat="1" applyFont="1" applyFill="1" applyBorder="1" applyAlignment="1">
      <alignment horizontal="center" vertical="center"/>
    </xf>
    <xf numFmtId="165" fontId="9" fillId="15" borderId="5" xfId="0" applyNumberFormat="1" applyFont="1" applyFill="1" applyBorder="1" applyAlignment="1">
      <alignment horizontal="center" vertical="center"/>
    </xf>
    <xf numFmtId="3" fontId="6" fillId="0" borderId="1" xfId="0" applyNumberFormat="1" applyFont="1" applyAlignment="1">
      <alignment horizontal="center" vertical="center"/>
    </xf>
    <xf numFmtId="165" fontId="9" fillId="15" borderId="25" xfId="0" applyNumberFormat="1" applyFont="1" applyFill="1" applyBorder="1" applyAlignment="1">
      <alignment horizontal="center" vertical="center"/>
    </xf>
    <xf numFmtId="165" fontId="9" fillId="15" borderId="52" xfId="0" applyNumberFormat="1" applyFont="1" applyFill="1" applyBorder="1" applyAlignment="1">
      <alignment horizontal="center" vertical="center"/>
    </xf>
    <xf numFmtId="165" fontId="9" fillId="15" borderId="58" xfId="0" applyNumberFormat="1" applyFont="1" applyFill="1" applyBorder="1" applyAlignment="1">
      <alignment horizontal="center" vertical="center"/>
    </xf>
    <xf numFmtId="165" fontId="9" fillId="15" borderId="28" xfId="0" applyNumberFormat="1" applyFont="1" applyFill="1" applyBorder="1" applyAlignment="1">
      <alignment horizontal="center" vertical="center"/>
    </xf>
    <xf numFmtId="165" fontId="9" fillId="15" borderId="29" xfId="0" applyNumberFormat="1" applyFont="1" applyFill="1" applyBorder="1" applyAlignment="1">
      <alignment horizontal="center" vertical="center"/>
    </xf>
    <xf numFmtId="165" fontId="9" fillId="15" borderId="50" xfId="0" applyNumberFormat="1" applyFont="1" applyFill="1" applyBorder="1" applyAlignment="1">
      <alignment horizontal="center" vertical="center"/>
    </xf>
    <xf numFmtId="165" fontId="9" fillId="15" borderId="45" xfId="0" applyNumberFormat="1" applyFont="1" applyFill="1" applyBorder="1" applyAlignment="1">
      <alignment horizontal="center" vertical="center"/>
    </xf>
    <xf numFmtId="165" fontId="9" fillId="15" borderId="51" xfId="0" applyNumberFormat="1" applyFont="1" applyFill="1" applyBorder="1" applyAlignment="1">
      <alignment horizontal="center" vertical="center"/>
    </xf>
    <xf numFmtId="165" fontId="9" fillId="15" borderId="53" xfId="0" applyNumberFormat="1" applyFont="1" applyFill="1" applyBorder="1" applyAlignment="1">
      <alignment horizontal="center" vertical="center"/>
    </xf>
    <xf numFmtId="165" fontId="9" fillId="15" borderId="54" xfId="0" applyNumberFormat="1" applyFont="1" applyFill="1" applyBorder="1" applyAlignment="1">
      <alignment horizontal="center" vertical="center"/>
    </xf>
    <xf numFmtId="165" fontId="9" fillId="15" borderId="55" xfId="0" applyNumberFormat="1" applyFont="1" applyFill="1" applyBorder="1" applyAlignment="1">
      <alignment horizontal="center" vertical="center"/>
    </xf>
    <xf numFmtId="3" fontId="6" fillId="12" borderId="1" xfId="0" applyNumberFormat="1" applyFont="1" applyFill="1" applyAlignment="1">
      <alignment horizontal="center" vertical="center"/>
    </xf>
    <xf numFmtId="165" fontId="9" fillId="16" borderId="4" xfId="0" applyNumberFormat="1" applyFont="1" applyFill="1" applyBorder="1" applyAlignment="1">
      <alignment horizontal="center" vertical="center"/>
    </xf>
    <xf numFmtId="165" fontId="9" fillId="16" borderId="22" xfId="0" applyNumberFormat="1" applyFont="1" applyFill="1" applyBorder="1" applyAlignment="1">
      <alignment horizontal="center" vertical="center"/>
    </xf>
    <xf numFmtId="4" fontId="9" fillId="16" borderId="4" xfId="0" applyNumberFormat="1" applyFont="1" applyFill="1" applyBorder="1" applyAlignment="1">
      <alignment horizontal="center" vertical="center"/>
    </xf>
    <xf numFmtId="165" fontId="9" fillId="19" borderId="4" xfId="0" applyNumberFormat="1" applyFont="1" applyFill="1" applyBorder="1" applyAlignment="1">
      <alignment horizontal="center" vertical="center"/>
    </xf>
    <xf numFmtId="165" fontId="9" fillId="19" borderId="30" xfId="0" applyNumberFormat="1" applyFont="1" applyFill="1" applyBorder="1" applyAlignment="1">
      <alignment horizontal="center" vertical="center"/>
    </xf>
    <xf numFmtId="4" fontId="9" fillId="19" borderId="4" xfId="0" applyNumberFormat="1" applyFont="1" applyFill="1" applyBorder="1" applyAlignment="1">
      <alignment horizontal="center" vertical="center"/>
    </xf>
    <xf numFmtId="165" fontId="9" fillId="20" borderId="4" xfId="0" applyNumberFormat="1" applyFont="1" applyFill="1" applyBorder="1" applyAlignment="1">
      <alignment horizontal="center" vertical="center"/>
    </xf>
    <xf numFmtId="165" fontId="9" fillId="20" borderId="22" xfId="0" applyNumberFormat="1" applyFont="1" applyFill="1" applyBorder="1" applyAlignment="1">
      <alignment horizontal="center" vertical="center"/>
    </xf>
    <xf numFmtId="4" fontId="9" fillId="21" borderId="4" xfId="0" applyNumberFormat="1" applyFont="1" applyFill="1" applyBorder="1" applyAlignment="1">
      <alignment horizontal="center" vertical="center"/>
    </xf>
    <xf numFmtId="165" fontId="9" fillId="21" borderId="4" xfId="0" applyNumberFormat="1" applyFont="1" applyFill="1" applyBorder="1" applyAlignment="1">
      <alignment horizontal="center" vertical="center"/>
    </xf>
    <xf numFmtId="165" fontId="9" fillId="20" borderId="27" xfId="0" applyNumberFormat="1" applyFont="1" applyFill="1" applyBorder="1" applyAlignment="1">
      <alignment horizontal="center" vertical="center"/>
    </xf>
    <xf numFmtId="4" fontId="9" fillId="20" borderId="5" xfId="0" applyNumberFormat="1" applyFont="1" applyFill="1" applyBorder="1" applyAlignment="1">
      <alignment horizontal="center" vertical="center"/>
    </xf>
    <xf numFmtId="165" fontId="9" fillId="20" borderId="5" xfId="0" applyNumberFormat="1" applyFont="1" applyFill="1" applyBorder="1" applyAlignment="1">
      <alignment horizontal="center" vertical="center"/>
    </xf>
    <xf numFmtId="3" fontId="8" fillId="12" borderId="1" xfId="0" applyNumberFormat="1" applyFont="1" applyFill="1" applyAlignment="1">
      <alignment horizontal="center" vertical="center"/>
    </xf>
    <xf numFmtId="165" fontId="9" fillId="22" borderId="61" xfId="0" applyNumberFormat="1" applyFont="1" applyFill="1" applyBorder="1" applyAlignment="1">
      <alignment horizontal="center" vertical="center"/>
    </xf>
    <xf numFmtId="165" fontId="9" fillId="22" borderId="43" xfId="0" applyNumberFormat="1" applyFont="1" applyFill="1" applyBorder="1" applyAlignment="1">
      <alignment horizontal="center" vertical="center"/>
    </xf>
    <xf numFmtId="165" fontId="9" fillId="22" borderId="62" xfId="0" applyNumberFormat="1" applyFont="1" applyFill="1" applyBorder="1" applyAlignment="1">
      <alignment horizontal="center" vertical="center"/>
    </xf>
    <xf numFmtId="4" fontId="9" fillId="22" borderId="5" xfId="0" applyNumberFormat="1" applyFont="1" applyFill="1" applyBorder="1" applyAlignment="1">
      <alignment horizontal="center" vertical="center"/>
    </xf>
    <xf numFmtId="165" fontId="9" fillId="22" borderId="5" xfId="0" applyNumberFormat="1" applyFont="1" applyFill="1" applyBorder="1" applyAlignment="1">
      <alignment horizontal="center" vertical="center"/>
    </xf>
    <xf numFmtId="165" fontId="9" fillId="22" borderId="63" xfId="0" applyNumberFormat="1" applyFont="1" applyFill="1" applyBorder="1" applyAlignment="1">
      <alignment horizontal="center" vertical="center"/>
    </xf>
    <xf numFmtId="165" fontId="9" fillId="22" borderId="31" xfId="0" applyNumberFormat="1" applyFont="1" applyFill="1" applyBorder="1" applyAlignment="1">
      <alignment horizontal="center" vertical="center"/>
    </xf>
    <xf numFmtId="165" fontId="9" fillId="22" borderId="65" xfId="0" applyNumberFormat="1" applyFont="1" applyFill="1" applyBorder="1" applyAlignment="1">
      <alignment horizontal="center" vertical="center"/>
    </xf>
    <xf numFmtId="4" fontId="9" fillId="22" borderId="64" xfId="0" applyNumberFormat="1" applyFont="1" applyFill="1" applyBorder="1" applyAlignment="1">
      <alignment horizontal="center" vertical="center"/>
    </xf>
    <xf numFmtId="4" fontId="9" fillId="22" borderId="28" xfId="0" applyNumberFormat="1" applyFont="1" applyFill="1" applyBorder="1" applyAlignment="1">
      <alignment horizontal="center" vertical="center"/>
    </xf>
    <xf numFmtId="4" fontId="9" fillId="22" borderId="29" xfId="0" applyNumberFormat="1" applyFont="1" applyFill="1" applyBorder="1" applyAlignment="1">
      <alignment horizontal="center" vertical="center"/>
    </xf>
    <xf numFmtId="165" fontId="9" fillId="22" borderId="27" xfId="0" applyNumberFormat="1" applyFont="1" applyFill="1" applyBorder="1" applyAlignment="1">
      <alignment horizontal="center" vertical="center"/>
    </xf>
    <xf numFmtId="165" fontId="9" fillId="22" borderId="28" xfId="0" applyNumberFormat="1" applyFont="1" applyFill="1" applyBorder="1" applyAlignment="1">
      <alignment horizontal="center" vertical="center"/>
    </xf>
    <xf numFmtId="165" fontId="9" fillId="22" borderId="29" xfId="0" applyNumberFormat="1" applyFont="1" applyFill="1" applyBorder="1" applyAlignment="1">
      <alignment horizontal="center" vertical="center"/>
    </xf>
    <xf numFmtId="4" fontId="9" fillId="22" borderId="27" xfId="0" applyNumberFormat="1" applyFont="1" applyFill="1" applyBorder="1" applyAlignment="1">
      <alignment horizontal="center" vertical="center"/>
    </xf>
    <xf numFmtId="165" fontId="9" fillId="22" borderId="4" xfId="0" applyNumberFormat="1" applyFont="1" applyFill="1" applyBorder="1" applyAlignment="1">
      <alignment horizontal="center" vertical="center"/>
    </xf>
    <xf numFmtId="165" fontId="9" fillId="22" borderId="22" xfId="0" applyNumberFormat="1" applyFont="1" applyFill="1" applyBorder="1" applyAlignment="1">
      <alignment horizontal="center" vertical="center"/>
    </xf>
    <xf numFmtId="4" fontId="9" fillId="22" borderId="4" xfId="0" applyNumberFormat="1" applyFont="1" applyFill="1" applyBorder="1" applyAlignment="1">
      <alignment horizontal="center" vertical="center"/>
    </xf>
    <xf numFmtId="165" fontId="9" fillId="23" borderId="4" xfId="0" applyNumberFormat="1" applyFont="1" applyFill="1" applyBorder="1" applyAlignment="1">
      <alignment horizontal="center" vertical="center"/>
    </xf>
    <xf numFmtId="165" fontId="9" fillId="23" borderId="22" xfId="0" applyNumberFormat="1" applyFont="1" applyFill="1" applyBorder="1" applyAlignment="1">
      <alignment horizontal="center" vertical="center"/>
    </xf>
    <xf numFmtId="4" fontId="9" fillId="23" borderId="4" xfId="0" applyNumberFormat="1" applyFont="1" applyFill="1" applyBorder="1" applyAlignment="1">
      <alignment horizontal="center" vertical="center"/>
    </xf>
    <xf numFmtId="165" fontId="9" fillId="23" borderId="27" xfId="0" applyNumberFormat="1" applyFont="1" applyFill="1" applyBorder="1" applyAlignment="1">
      <alignment horizontal="center" vertical="center"/>
    </xf>
    <xf numFmtId="4" fontId="9" fillId="23" borderId="5" xfId="0" applyNumberFormat="1" applyFont="1" applyFill="1" applyBorder="1" applyAlignment="1">
      <alignment horizontal="center" vertical="center"/>
    </xf>
    <xf numFmtId="165" fontId="9" fillId="23" borderId="5" xfId="0" applyNumberFormat="1" applyFont="1" applyFill="1" applyBorder="1" applyAlignment="1">
      <alignment horizontal="center" vertical="center"/>
    </xf>
    <xf numFmtId="165" fontId="9" fillId="22" borderId="69" xfId="0" applyNumberFormat="1" applyFont="1" applyFill="1" applyBorder="1" applyAlignment="1">
      <alignment horizontal="center" vertical="center"/>
    </xf>
    <xf numFmtId="165" fontId="9" fillId="22" borderId="46" xfId="0" applyNumberFormat="1" applyFont="1" applyFill="1" applyBorder="1" applyAlignment="1">
      <alignment horizontal="center" vertical="center"/>
    </xf>
    <xf numFmtId="165" fontId="9" fillId="22" borderId="70" xfId="0" applyNumberFormat="1" applyFont="1" applyFill="1" applyBorder="1" applyAlignment="1">
      <alignment horizontal="center" vertical="center"/>
    </xf>
    <xf numFmtId="165" fontId="9" fillId="16" borderId="27" xfId="0" applyNumberFormat="1" applyFont="1" applyFill="1" applyBorder="1" applyAlignment="1">
      <alignment horizontal="center" vertical="center"/>
    </xf>
    <xf numFmtId="165" fontId="9" fillId="19" borderId="27" xfId="0" applyNumberFormat="1" applyFont="1" applyFill="1" applyBorder="1" applyAlignment="1">
      <alignment horizontal="center" vertical="center"/>
    </xf>
    <xf numFmtId="165" fontId="9" fillId="25" borderId="4" xfId="0" applyNumberFormat="1" applyFont="1" applyFill="1" applyBorder="1" applyAlignment="1">
      <alignment horizontal="center" vertical="center"/>
    </xf>
    <xf numFmtId="165" fontId="9" fillId="25" borderId="22" xfId="0" applyNumberFormat="1" applyFont="1" applyFill="1" applyBorder="1" applyAlignment="1">
      <alignment horizontal="center" vertical="center"/>
    </xf>
    <xf numFmtId="4" fontId="9" fillId="26" borderId="4" xfId="0" applyNumberFormat="1" applyFont="1" applyFill="1" applyBorder="1" applyAlignment="1">
      <alignment horizontal="center" vertical="center"/>
    </xf>
    <xf numFmtId="165" fontId="9" fillId="26" borderId="4" xfId="0" applyNumberFormat="1" applyFont="1" applyFill="1" applyBorder="1" applyAlignment="1">
      <alignment horizontal="center" vertical="center"/>
    </xf>
    <xf numFmtId="165" fontId="9" fillId="26" borderId="27" xfId="0" applyNumberFormat="1" applyFont="1" applyFill="1" applyBorder="1" applyAlignment="1">
      <alignment horizontal="center" vertical="center"/>
    </xf>
    <xf numFmtId="165" fontId="9" fillId="28" borderId="4" xfId="0" applyNumberFormat="1" applyFont="1" applyFill="1" applyBorder="1" applyAlignment="1">
      <alignment horizontal="center" vertical="center"/>
    </xf>
    <xf numFmtId="165" fontId="9" fillId="28" borderId="22" xfId="0" applyNumberFormat="1" applyFont="1" applyFill="1" applyBorder="1" applyAlignment="1">
      <alignment horizontal="center" vertical="center"/>
    </xf>
    <xf numFmtId="4" fontId="9" fillId="28" borderId="4" xfId="0" applyNumberFormat="1" applyFont="1" applyFill="1" applyBorder="1" applyAlignment="1">
      <alignment horizontal="center" vertical="center"/>
    </xf>
    <xf numFmtId="165" fontId="9" fillId="29" borderId="4" xfId="0" applyNumberFormat="1" applyFont="1" applyFill="1" applyBorder="1" applyAlignment="1">
      <alignment horizontal="center" vertical="center"/>
    </xf>
    <xf numFmtId="165" fontId="9" fillId="29" borderId="27" xfId="0" applyNumberFormat="1" applyFont="1" applyFill="1" applyBorder="1" applyAlignment="1">
      <alignment horizontal="center" vertical="center"/>
    </xf>
    <xf numFmtId="4" fontId="9" fillId="29" borderId="4" xfId="0" applyNumberFormat="1" applyFont="1" applyFill="1" applyBorder="1" applyAlignment="1">
      <alignment horizontal="center" vertical="center"/>
    </xf>
    <xf numFmtId="165" fontId="9" fillId="30" borderId="4" xfId="0" applyNumberFormat="1" applyFont="1" applyFill="1" applyBorder="1" applyAlignment="1">
      <alignment horizontal="center" vertical="center"/>
    </xf>
    <xf numFmtId="165" fontId="9" fillId="30" borderId="27" xfId="0" applyNumberFormat="1" applyFont="1" applyFill="1" applyBorder="1" applyAlignment="1">
      <alignment horizontal="center" vertical="center"/>
    </xf>
    <xf numFmtId="165" fontId="9" fillId="31" borderId="4" xfId="0" applyNumberFormat="1" applyFont="1" applyFill="1" applyBorder="1" applyAlignment="1">
      <alignment horizontal="center" vertical="center"/>
    </xf>
    <xf numFmtId="165" fontId="9" fillId="31" borderId="27" xfId="0" applyNumberFormat="1" applyFont="1" applyFill="1" applyBorder="1" applyAlignment="1">
      <alignment horizontal="center" vertical="center"/>
    </xf>
    <xf numFmtId="4" fontId="9" fillId="31" borderId="4" xfId="0" applyNumberFormat="1" applyFont="1" applyFill="1" applyBorder="1" applyAlignment="1">
      <alignment horizontal="center" vertical="center"/>
    </xf>
    <xf numFmtId="165" fontId="9" fillId="31" borderId="72" xfId="0" applyNumberFormat="1" applyFont="1" applyFill="1" applyBorder="1" applyAlignment="1">
      <alignment horizontal="center" vertical="center"/>
    </xf>
    <xf numFmtId="165" fontId="9" fillId="31" borderId="73" xfId="0" applyNumberFormat="1" applyFont="1" applyFill="1" applyBorder="1" applyAlignment="1">
      <alignment horizontal="center" vertical="center"/>
    </xf>
    <xf numFmtId="165" fontId="9" fillId="31" borderId="53" xfId="0" applyNumberFormat="1" applyFont="1" applyFill="1" applyBorder="1" applyAlignment="1">
      <alignment horizontal="center" vertical="center"/>
    </xf>
    <xf numFmtId="165" fontId="6" fillId="12" borderId="1" xfId="0" applyNumberFormat="1" applyFont="1" applyFill="1" applyAlignment="1">
      <alignment horizontal="center" vertical="center"/>
    </xf>
    <xf numFmtId="165" fontId="10" fillId="0" borderId="88" xfId="2" applyNumberFormat="1" applyFont="1" applyFill="1" applyBorder="1" applyAlignment="1">
      <alignment horizontal="center" vertical="center" wrapText="1"/>
    </xf>
    <xf numFmtId="165" fontId="10" fillId="0" borderId="89" xfId="2" applyNumberFormat="1" applyFont="1" applyFill="1" applyBorder="1" applyAlignment="1">
      <alignment horizontal="center" vertical="center" wrapText="1"/>
    </xf>
    <xf numFmtId="165" fontId="10" fillId="0" borderId="90" xfId="2" applyNumberFormat="1" applyFont="1" applyFill="1" applyBorder="1" applyAlignment="1">
      <alignment horizontal="center" vertical="center" wrapText="1"/>
    </xf>
    <xf numFmtId="0" fontId="10" fillId="0" borderId="78" xfId="2" applyFont="1" applyFill="1" applyBorder="1" applyAlignment="1">
      <alignment horizontal="center" vertical="center"/>
    </xf>
    <xf numFmtId="0" fontId="10" fillId="0" borderId="79" xfId="2" applyFont="1" applyFill="1" applyBorder="1" applyAlignment="1">
      <alignment horizontal="center" vertical="center"/>
    </xf>
    <xf numFmtId="49" fontId="10" fillId="0" borderId="78" xfId="2" applyNumberFormat="1" applyFont="1" applyFill="1" applyBorder="1" applyAlignment="1">
      <alignment horizontal="center" vertical="center"/>
    </xf>
    <xf numFmtId="49" fontId="10" fillId="0" borderId="79" xfId="2" applyNumberFormat="1" applyFont="1" applyFill="1" applyBorder="1" applyAlignment="1">
      <alignment horizontal="center" vertical="center"/>
    </xf>
    <xf numFmtId="49" fontId="10" fillId="4" borderId="82" xfId="2" applyNumberFormat="1" applyFont="1" applyFill="1" applyBorder="1" applyAlignment="1">
      <alignment horizontal="center" vertical="center"/>
    </xf>
    <xf numFmtId="49" fontId="10" fillId="4" borderId="84" xfId="2" applyNumberFormat="1" applyFont="1" applyFill="1" applyBorder="1" applyAlignment="1">
      <alignment horizontal="center" vertical="center"/>
    </xf>
    <xf numFmtId="165" fontId="10" fillId="0" borderId="87" xfId="2" applyNumberFormat="1" applyFont="1" applyFill="1" applyBorder="1" applyAlignment="1">
      <alignment horizontal="center" vertical="center" wrapText="1"/>
    </xf>
    <xf numFmtId="165" fontId="10" fillId="0" borderId="77" xfId="2" applyNumberFormat="1" applyFont="1" applyFill="1" applyBorder="1" applyAlignment="1">
      <alignment horizontal="center" vertical="center" wrapText="1"/>
    </xf>
    <xf numFmtId="165" fontId="10" fillId="0" borderId="83" xfId="2" applyNumberFormat="1" applyFont="1" applyFill="1" applyBorder="1" applyAlignment="1">
      <alignment horizontal="center" vertical="center" wrapText="1"/>
    </xf>
    <xf numFmtId="0" fontId="10" fillId="4" borderId="78" xfId="2" applyFont="1" applyFill="1" applyBorder="1" applyAlignment="1">
      <alignment horizontal="center" vertical="center"/>
    </xf>
    <xf numFmtId="0" fontId="10" fillId="4" borderId="79" xfId="2" applyFont="1" applyFill="1" applyBorder="1" applyAlignment="1">
      <alignment horizontal="center" vertical="center"/>
    </xf>
    <xf numFmtId="49" fontId="10" fillId="4" borderId="78" xfId="2" applyNumberFormat="1" applyFont="1" applyFill="1" applyBorder="1" applyAlignment="1">
      <alignment horizontal="center" vertical="center"/>
    </xf>
    <xf numFmtId="49" fontId="10" fillId="4" borderId="79" xfId="2" applyNumberFormat="1" applyFont="1" applyFill="1" applyBorder="1" applyAlignment="1">
      <alignment horizontal="center" vertical="center"/>
    </xf>
    <xf numFmtId="49" fontId="10" fillId="4" borderId="67" xfId="2" applyNumberFormat="1" applyFont="1" applyFill="1" applyBorder="1" applyAlignment="1">
      <alignment horizontal="center" vertical="center"/>
    </xf>
    <xf numFmtId="165" fontId="10" fillId="4" borderId="77" xfId="2" applyNumberFormat="1" applyFont="1" applyFill="1" applyBorder="1" applyAlignment="1">
      <alignment horizontal="center" vertical="center" wrapText="1"/>
    </xf>
    <xf numFmtId="165" fontId="10" fillId="4" borderId="83" xfId="2" applyNumberFormat="1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horizontal="center" vertical="center"/>
    </xf>
    <xf numFmtId="165" fontId="7" fillId="0" borderId="1" xfId="2" applyNumberFormat="1" applyFont="1" applyFill="1" applyBorder="1" applyAlignment="1">
      <alignment horizontal="center" vertical="center"/>
    </xf>
    <xf numFmtId="165" fontId="6" fillId="0" borderId="1" xfId="2" applyNumberFormat="1" applyFont="1" applyFill="1" applyBorder="1" applyAlignment="1">
      <alignment horizontal="right" vertical="center"/>
    </xf>
    <xf numFmtId="165" fontId="36" fillId="6" borderId="75" xfId="2" applyNumberFormat="1" applyFont="1" applyFill="1" applyBorder="1" applyAlignment="1">
      <alignment horizontal="center" vertical="center"/>
    </xf>
    <xf numFmtId="165" fontId="38" fillId="6" borderId="50" xfId="2" applyNumberFormat="1" applyFont="1" applyFill="1" applyBorder="1" applyAlignment="1">
      <alignment horizontal="center" vertical="center" wrapText="1"/>
    </xf>
    <xf numFmtId="165" fontId="38" fillId="6" borderId="31" xfId="2" applyNumberFormat="1" applyFont="1" applyFill="1" applyBorder="1" applyAlignment="1">
      <alignment horizontal="center" vertical="center" wrapText="1"/>
    </xf>
    <xf numFmtId="165" fontId="38" fillId="6" borderId="47" xfId="2" applyNumberFormat="1" applyFont="1" applyFill="1" applyBorder="1" applyAlignment="1">
      <alignment horizontal="center" vertical="center"/>
    </xf>
    <xf numFmtId="1" fontId="7" fillId="32" borderId="91" xfId="21" applyNumberFormat="1" applyFont="1" applyFill="1" applyBorder="1" applyAlignment="1">
      <alignment horizontal="center" vertical="center"/>
    </xf>
    <xf numFmtId="1" fontId="7" fillId="32" borderId="1" xfId="21" applyNumberFormat="1" applyFont="1" applyFill="1" applyAlignment="1">
      <alignment horizontal="center" vertical="center"/>
    </xf>
    <xf numFmtId="165" fontId="10" fillId="0" borderId="85" xfId="2" applyNumberFormat="1" applyFont="1" applyFill="1" applyBorder="1" applyAlignment="1">
      <alignment horizontal="right" vertical="center"/>
    </xf>
    <xf numFmtId="165" fontId="10" fillId="0" borderId="92" xfId="2" applyNumberFormat="1" applyFont="1" applyFill="1" applyBorder="1" applyAlignment="1">
      <alignment horizontal="right" vertical="center"/>
    </xf>
  </cellXfs>
  <cellStyles count="26">
    <cellStyle name="Excel_BuiltIn_Nota 1" xfId="1"/>
    <cellStyle name="Excel_BuiltIn_Saída 1 2" xfId="2"/>
    <cellStyle name="Excel_BuiltIn_Texto de Aviso 1" xfId="3"/>
    <cellStyle name="Hiperlink" xfId="4" builtinId="8"/>
    <cellStyle name="Hiperlink 2" xfId="5"/>
    <cellStyle name="Normal" xfId="0" builtinId="0"/>
    <cellStyle name="Normal 2" xfId="6"/>
    <cellStyle name="Normal 3" xfId="7"/>
    <cellStyle name="Porcentagem" xfId="8" builtinId="5"/>
    <cellStyle name="Texto Explicativo 2" xfId="9"/>
    <cellStyle name="Vírgula 2" xfId="10"/>
    <cellStyle name="Vírgula 2 2" xfId="11"/>
    <cellStyle name="Vírgula 2 2 2" xfId="12"/>
    <cellStyle name="Vírgula 2 3" xfId="13"/>
    <cellStyle name="Vírgula 2 3 2" xfId="14"/>
    <cellStyle name="Vírgula 2 4" xfId="15"/>
    <cellStyle name="Vírgula 2 5" xfId="16"/>
    <cellStyle name="Vírgula 2 6" xfId="17"/>
    <cellStyle name="Vírgula 6" xfId="18"/>
    <cellStyle name="Vírgula 6 2" xfId="19"/>
    <cellStyle name="Vírgula 6 2 2" xfId="20"/>
    <cellStyle name="Vírgula 6 2 3" xfId="21"/>
    <cellStyle name="Vírgula 6 3" xfId="22"/>
    <cellStyle name="Vírgula 6 4" xfId="23"/>
    <cellStyle name="Vírgula 6 5" xfId="24"/>
    <cellStyle name="Vírgula 6 6" xfId="25"/>
  </cellStyles>
  <dxfs count="0"/>
  <tableStyles count="0" defaultTableStyle="TableStyleMedium2" defaultPivotStyle="PivotStyleLight16"/>
  <colors>
    <mruColors>
      <color rgb="FFFFFFCC"/>
      <color rgb="FFFFD1D2"/>
      <color rgb="FFFFFFFF"/>
      <color rgb="FFFF7C80"/>
      <color rgb="FF000000"/>
      <color rgb="FF0000FF"/>
      <color rgb="FFFFFF99"/>
      <color rgb="FFD2E6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theme" Target="theme/theme1.xml"/><Relationship Id="rId8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#'Amendoim 1a'!A1"/><Relationship Id="rId18" Type="http://schemas.openxmlformats.org/officeDocument/2006/relationships/hyperlink" Target="#'Arroz Total'!Area_de_impressao"/><Relationship Id="rId26" Type="http://schemas.openxmlformats.org/officeDocument/2006/relationships/hyperlink" Target="#'Feij&#227;o 2a Total'!Area_de_impressao"/><Relationship Id="rId39" Type="http://schemas.openxmlformats.org/officeDocument/2006/relationships/hyperlink" Target="#'Milho 2a'!Area_de_impressao"/><Relationship Id="rId21" Type="http://schemas.openxmlformats.org/officeDocument/2006/relationships/hyperlink" Target="#'Feij&#227;o 1a Caupi'!Area_de_impressao"/><Relationship Id="rId34" Type="http://schemas.openxmlformats.org/officeDocument/2006/relationships/hyperlink" Target="#'Feij&#227;o Total'!Area_de_impressao"/><Relationship Id="rId42" Type="http://schemas.openxmlformats.org/officeDocument/2006/relationships/hyperlink" Target="#Soja!Area_de_impressao"/><Relationship Id="rId47" Type="http://schemas.openxmlformats.org/officeDocument/2006/relationships/hyperlink" Target="#Trigo!Area_de_impressao"/><Relationship Id="rId50" Type="http://schemas.openxmlformats.org/officeDocument/2006/relationships/hyperlink" Target="#'Suprimento - Soja'!A1"/><Relationship Id="rId55" Type="http://schemas.openxmlformats.org/officeDocument/2006/relationships/hyperlink" Target="#BA!A1"/><Relationship Id="rId63" Type="http://schemas.openxmlformats.org/officeDocument/2006/relationships/hyperlink" Target="#MT!A1"/><Relationship Id="rId68" Type="http://schemas.openxmlformats.org/officeDocument/2006/relationships/hyperlink" Target="#PR!A1"/><Relationship Id="rId76" Type="http://schemas.openxmlformats.org/officeDocument/2006/relationships/hyperlink" Target="#SP!A1"/><Relationship Id="rId7" Type="http://schemas.openxmlformats.org/officeDocument/2006/relationships/hyperlink" Target="#Produ&#231;&#227;o_Brasil!A1"/><Relationship Id="rId71" Type="http://schemas.openxmlformats.org/officeDocument/2006/relationships/hyperlink" Target="#RO!A1"/><Relationship Id="rId2" Type="http://schemas.openxmlformats.org/officeDocument/2006/relationships/image" Target="../media/image2.png"/><Relationship Id="rId16" Type="http://schemas.openxmlformats.org/officeDocument/2006/relationships/hyperlink" Target="#'Arroz Sequeiro'!Area_de_impressao"/><Relationship Id="rId29" Type="http://schemas.openxmlformats.org/officeDocument/2006/relationships/hyperlink" Target="#'Feij&#227;o 3a Caupi'!Area_de_impressao"/><Relationship Id="rId11" Type="http://schemas.openxmlformats.org/officeDocument/2006/relationships/hyperlink" Target="#'Caro&#231;o de Algod&#227;o'!A1"/><Relationship Id="rId24" Type="http://schemas.openxmlformats.org/officeDocument/2006/relationships/hyperlink" Target="#'Feij&#227;o 2a Preto'!Area_de_impressao"/><Relationship Id="rId32" Type="http://schemas.openxmlformats.org/officeDocument/2006/relationships/hyperlink" Target="#'Feij&#227;o Preto Total'!Area_de_impressao"/><Relationship Id="rId37" Type="http://schemas.openxmlformats.org/officeDocument/2006/relationships/hyperlink" Target="#Mamona!Area_de_impressao"/><Relationship Id="rId40" Type="http://schemas.openxmlformats.org/officeDocument/2006/relationships/hyperlink" Target="#'Milho 3a'!Area_de_impressao"/><Relationship Id="rId45" Type="http://schemas.openxmlformats.org/officeDocument/2006/relationships/hyperlink" Target="#Canola!Area_de_impressao"/><Relationship Id="rId53" Type="http://schemas.openxmlformats.org/officeDocument/2006/relationships/hyperlink" Target="#AM!A1"/><Relationship Id="rId58" Type="http://schemas.openxmlformats.org/officeDocument/2006/relationships/hyperlink" Target="#ES!A1"/><Relationship Id="rId66" Type="http://schemas.openxmlformats.org/officeDocument/2006/relationships/hyperlink" Target="#PE!A1"/><Relationship Id="rId74" Type="http://schemas.openxmlformats.org/officeDocument/2006/relationships/hyperlink" Target="#SC!A1"/><Relationship Id="rId5" Type="http://schemas.openxmlformats.org/officeDocument/2006/relationships/hyperlink" Target="#Produtividade_Brasil!A1"/><Relationship Id="rId15" Type="http://schemas.openxmlformats.org/officeDocument/2006/relationships/hyperlink" Target="#'Amendoim Total'!Area_de_impressao"/><Relationship Id="rId23" Type="http://schemas.openxmlformats.org/officeDocument/2006/relationships/hyperlink" Target="#'Feij&#227;o 2a Cores'!Area_de_impressao"/><Relationship Id="rId28" Type="http://schemas.openxmlformats.org/officeDocument/2006/relationships/hyperlink" Target="#'Feij&#227;o 3a Preto'!Area_de_impressao"/><Relationship Id="rId36" Type="http://schemas.openxmlformats.org/officeDocument/2006/relationships/hyperlink" Target="#Girassol!Area_de_impressao"/><Relationship Id="rId49" Type="http://schemas.openxmlformats.org/officeDocument/2006/relationships/hyperlink" Target="#Suprimento!Area_de_impressao"/><Relationship Id="rId57" Type="http://schemas.openxmlformats.org/officeDocument/2006/relationships/hyperlink" Target="#DF!A1"/><Relationship Id="rId61" Type="http://schemas.openxmlformats.org/officeDocument/2006/relationships/hyperlink" Target="#MG!A1"/><Relationship Id="rId10" Type="http://schemas.openxmlformats.org/officeDocument/2006/relationships/hyperlink" Target="#'Algodao em Pluma'!A1"/><Relationship Id="rId19" Type="http://schemas.openxmlformats.org/officeDocument/2006/relationships/hyperlink" Target="#'Feij&#227;o 1a Cores'!Area_de_impressao"/><Relationship Id="rId31" Type="http://schemas.openxmlformats.org/officeDocument/2006/relationships/hyperlink" Target="#'Feij&#227;o Cores Total'!Area_de_impressao"/><Relationship Id="rId44" Type="http://schemas.openxmlformats.org/officeDocument/2006/relationships/hyperlink" Target="#Aveia!Area_de_impressao"/><Relationship Id="rId52" Type="http://schemas.openxmlformats.org/officeDocument/2006/relationships/hyperlink" Target="#AL!A1"/><Relationship Id="rId60" Type="http://schemas.openxmlformats.org/officeDocument/2006/relationships/hyperlink" Target="#MA!A1"/><Relationship Id="rId65" Type="http://schemas.openxmlformats.org/officeDocument/2006/relationships/hyperlink" Target="#PB!A1"/><Relationship Id="rId73" Type="http://schemas.openxmlformats.org/officeDocument/2006/relationships/hyperlink" Target="#RS!A1"/><Relationship Id="rId78" Type="http://schemas.openxmlformats.org/officeDocument/2006/relationships/hyperlink" Target="#Cevada!Area_de_impressao"/><Relationship Id="rId4" Type="http://schemas.openxmlformats.org/officeDocument/2006/relationships/hyperlink" Target="#&#193;rea_Brasil!Area_de_impressao"/><Relationship Id="rId9" Type="http://schemas.openxmlformats.org/officeDocument/2006/relationships/hyperlink" Target="#'Brasil - Total por Produto'!A1"/><Relationship Id="rId14" Type="http://schemas.openxmlformats.org/officeDocument/2006/relationships/hyperlink" Target="#'Amendoim 2a'!A1"/><Relationship Id="rId22" Type="http://schemas.openxmlformats.org/officeDocument/2006/relationships/hyperlink" Target="#'Feij&#227;o 1a Total'!Area_de_impressao"/><Relationship Id="rId27" Type="http://schemas.openxmlformats.org/officeDocument/2006/relationships/hyperlink" Target="#'Feij&#227;o 3a Cores'!Area_de_impressao"/><Relationship Id="rId30" Type="http://schemas.openxmlformats.org/officeDocument/2006/relationships/hyperlink" Target="#'Feij&#227;o 3a Total'!Area_de_impressao"/><Relationship Id="rId35" Type="http://schemas.openxmlformats.org/officeDocument/2006/relationships/hyperlink" Target="#Gergelim!Area_de_impressao"/><Relationship Id="rId43" Type="http://schemas.openxmlformats.org/officeDocument/2006/relationships/hyperlink" Target="#Sorgo!Area_de_impressao"/><Relationship Id="rId48" Type="http://schemas.openxmlformats.org/officeDocument/2006/relationships/hyperlink" Target="#Triticale!Area_de_impressao"/><Relationship Id="rId56" Type="http://schemas.openxmlformats.org/officeDocument/2006/relationships/hyperlink" Target="#CE!A1"/><Relationship Id="rId64" Type="http://schemas.openxmlformats.org/officeDocument/2006/relationships/hyperlink" Target="#PA!A1"/><Relationship Id="rId69" Type="http://schemas.openxmlformats.org/officeDocument/2006/relationships/hyperlink" Target="#RJ!A1"/><Relationship Id="rId77" Type="http://schemas.openxmlformats.org/officeDocument/2006/relationships/hyperlink" Target="#TO!A1"/><Relationship Id="rId8" Type="http://schemas.openxmlformats.org/officeDocument/2006/relationships/hyperlink" Target="#'Brasil total por UF'!A1"/><Relationship Id="rId51" Type="http://schemas.openxmlformats.org/officeDocument/2006/relationships/hyperlink" Target="#AC!A1"/><Relationship Id="rId72" Type="http://schemas.openxmlformats.org/officeDocument/2006/relationships/hyperlink" Target="#RR!A1"/><Relationship Id="rId3" Type="http://schemas.openxmlformats.org/officeDocument/2006/relationships/image" Target="../media/image3.png"/><Relationship Id="rId12" Type="http://schemas.openxmlformats.org/officeDocument/2006/relationships/hyperlink" Target="#'Algod&#227;o Rendimento'!A1"/><Relationship Id="rId17" Type="http://schemas.openxmlformats.org/officeDocument/2006/relationships/hyperlink" Target="#'Arroz Irrigado'!Area_de_impressao"/><Relationship Id="rId25" Type="http://schemas.openxmlformats.org/officeDocument/2006/relationships/hyperlink" Target="#'Feij&#227;o 2a Caupi'!Area_de_impressao"/><Relationship Id="rId33" Type="http://schemas.openxmlformats.org/officeDocument/2006/relationships/hyperlink" Target="#'Feij&#227;o Caupi Total'!Area_de_impressao"/><Relationship Id="rId38" Type="http://schemas.openxmlformats.org/officeDocument/2006/relationships/hyperlink" Target="#'Milho 1a'!Area_de_impressao"/><Relationship Id="rId46" Type="http://schemas.openxmlformats.org/officeDocument/2006/relationships/hyperlink" Target="#Centeio!Area_de_impressao"/><Relationship Id="rId59" Type="http://schemas.openxmlformats.org/officeDocument/2006/relationships/hyperlink" Target="#GO!A1"/><Relationship Id="rId67" Type="http://schemas.openxmlformats.org/officeDocument/2006/relationships/hyperlink" Target="#PI!A1"/><Relationship Id="rId20" Type="http://schemas.openxmlformats.org/officeDocument/2006/relationships/hyperlink" Target="#'Feij&#227;o 1a Preto'!Area_de_impressao"/><Relationship Id="rId41" Type="http://schemas.openxmlformats.org/officeDocument/2006/relationships/hyperlink" Target="#'Milho Total'!Area_de_impressao"/><Relationship Id="rId54" Type="http://schemas.openxmlformats.org/officeDocument/2006/relationships/hyperlink" Target="#AP!A1"/><Relationship Id="rId62" Type="http://schemas.openxmlformats.org/officeDocument/2006/relationships/hyperlink" Target="#MS!A1"/><Relationship Id="rId70" Type="http://schemas.openxmlformats.org/officeDocument/2006/relationships/hyperlink" Target="#RN!A1"/><Relationship Id="rId75" Type="http://schemas.openxmlformats.org/officeDocument/2006/relationships/hyperlink" Target="#SE!A1"/><Relationship Id="rId1" Type="http://schemas.openxmlformats.org/officeDocument/2006/relationships/image" Target="../media/image1.png"/><Relationship Id="rId6" Type="http://schemas.openxmlformats.org/officeDocument/2006/relationships/hyperlink" Target="#'Algodao Total'!Area_de_impressao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6.png"/><Relationship Id="rId4" Type="http://schemas.openxmlformats.org/officeDocument/2006/relationships/hyperlink" Target="#Principal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image" Target="../media/image11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4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15.png"/><Relationship Id="rId1" Type="http://schemas.openxmlformats.org/officeDocument/2006/relationships/image" Target="../media/image12.png"/><Relationship Id="rId4" Type="http://schemas.openxmlformats.org/officeDocument/2006/relationships/hyperlink" Target="#Principal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5.png"/><Relationship Id="rId1" Type="http://schemas.openxmlformats.org/officeDocument/2006/relationships/image" Target="../media/image16.png"/><Relationship Id="rId4" Type="http://schemas.openxmlformats.org/officeDocument/2006/relationships/hyperlink" Target="#Principal!A1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5.png"/><Relationship Id="rId1" Type="http://schemas.openxmlformats.org/officeDocument/2006/relationships/image" Target="../media/image19.png"/><Relationship Id="rId4" Type="http://schemas.openxmlformats.org/officeDocument/2006/relationships/hyperlink" Target="#Principal!A1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5.png"/><Relationship Id="rId1" Type="http://schemas.openxmlformats.org/officeDocument/2006/relationships/image" Target="../media/image21.png"/><Relationship Id="rId4" Type="http://schemas.openxmlformats.org/officeDocument/2006/relationships/hyperlink" Target="#Principal!A1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5.png"/><Relationship Id="rId1" Type="http://schemas.openxmlformats.org/officeDocument/2006/relationships/image" Target="../media/image10.png"/><Relationship Id="rId4" Type="http://schemas.openxmlformats.org/officeDocument/2006/relationships/hyperlink" Target="#Principal!A1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png"/><Relationship Id="rId2" Type="http://schemas.openxmlformats.org/officeDocument/2006/relationships/image" Target="../media/image5.png"/><Relationship Id="rId1" Type="http://schemas.openxmlformats.org/officeDocument/2006/relationships/image" Target="../media/image23.png"/><Relationship Id="rId4" Type="http://schemas.openxmlformats.org/officeDocument/2006/relationships/hyperlink" Target="#Principal!A1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hyperlink" Target="#Principal!A1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 macro="" textlink="">
      <xdr:nvSpPr>
        <xdr:cNvPr id="7" name="Text 14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5/26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12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3</xdr:col>
      <xdr:colOff>173682</xdr:colOff>
      <xdr:row>14</xdr:row>
      <xdr:rowOff>66414</xdr:rowOff>
    </xdr:from>
    <xdr:to>
      <xdr:col>6</xdr:col>
      <xdr:colOff>138557</xdr:colOff>
      <xdr:row>16</xdr:row>
      <xdr:rowOff>142949</xdr:rowOff>
    </xdr:to>
    <xdr:sp macro="" textlink="">
      <xdr:nvSpPr>
        <xdr:cNvPr id="9" name="Retângulo de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 bwMode="auto">
        <a:xfrm>
          <a:off x="1773882" y="2904864"/>
          <a:ext cx="1565076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 macro="" textlink="">
      <xdr:nvSpPr>
        <xdr:cNvPr id="10" name="Retângulo de cantos arredondados 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 macro="" textlink="">
      <xdr:nvSpPr>
        <xdr:cNvPr id="11" name="Retângulo de cantos arredondados 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 macro="" textlink="">
      <xdr:nvSpPr>
        <xdr:cNvPr id="12" name="Retângulo de cantos arredondados 4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 macro="" textlink="">
      <xdr:nvSpPr>
        <xdr:cNvPr id="13" name="Retângulo de cantos arredondados 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 macro="" textlink="">
      <xdr:nvSpPr>
        <xdr:cNvPr id="14" name="Retângulo de cantos arredondados 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 macro="" textlink="">
      <xdr:nvSpPr>
        <xdr:cNvPr id="15" name="Retângulo de cantos arredondados 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 macro="" textlink="">
      <xdr:nvSpPr>
        <xdr:cNvPr id="16" name="Retângulo de cantos arredondados 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 macro="" textlink="">
      <xdr:nvSpPr>
        <xdr:cNvPr id="17" name="Retângulo de cantos arredondados 4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 macro="" textlink="">
      <xdr:nvSpPr>
        <xdr:cNvPr id="18" name="Retângulo de cantos arredondados 4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 macro="" textlink="">
      <xdr:nvSpPr>
        <xdr:cNvPr id="19" name="Retângulo de cantos arredondados 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 macro="" textlink="">
      <xdr:nvSpPr>
        <xdr:cNvPr id="20" name="Retângulo de cantos arredondados 4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 macro="" textlink="">
      <xdr:nvSpPr>
        <xdr:cNvPr id="21" name="Retângulo de cantos arredondados 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 macro="" textlink="">
      <xdr:nvSpPr>
        <xdr:cNvPr id="22" name="Retângulo de cantos arredondados 4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 macro="" textlink="">
      <xdr:nvSpPr>
        <xdr:cNvPr id="23" name="Retângulo de cantos arredondados 4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 macro="" textlink="">
      <xdr:nvSpPr>
        <xdr:cNvPr id="24" name="Retângulo de cantos arredondados 4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 macro="" textlink="">
      <xdr:nvSpPr>
        <xdr:cNvPr id="25" name="Retângulo de cantos arredondados 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187322</xdr:colOff>
      <xdr:row>25</xdr:row>
      <xdr:rowOff>117696</xdr:rowOff>
    </xdr:to>
    <xdr:sp macro="" textlink="">
      <xdr:nvSpPr>
        <xdr:cNvPr id="26" name="Retângulo de cantos arredondados 4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 macro="" textlink="">
      <xdr:nvSpPr>
        <xdr:cNvPr id="27" name="Retângulo de cantos arredondados 4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 macro="" textlink="">
      <xdr:nvSpPr>
        <xdr:cNvPr id="28" name="Retângulo de cantos arredondados 4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 macro="" textlink="">
      <xdr:nvSpPr>
        <xdr:cNvPr id="29" name="Retângulo de cantos arredondados 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 macro="" textlink="">
      <xdr:nvSpPr>
        <xdr:cNvPr id="30" name="Retângulo de cantos arredondados 4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 macro="" textlink="">
      <xdr:nvSpPr>
        <xdr:cNvPr id="31" name="Retângulo de cantos arredondados 4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 macro="" textlink="">
      <xdr:nvSpPr>
        <xdr:cNvPr id="32" name="Retângulo de cantos arredondados 4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 macro="" textlink="">
      <xdr:nvSpPr>
        <xdr:cNvPr id="33" name="Retângulo de cantos arredondados 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 macro="" textlink="">
      <xdr:nvSpPr>
        <xdr:cNvPr id="34" name="Retângulo de cantos arredondados 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 macro="" textlink="">
      <xdr:nvSpPr>
        <xdr:cNvPr id="35" name="Retângulo de cantos arredondados 4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 macro="" textlink="">
      <xdr:nvSpPr>
        <xdr:cNvPr id="36" name="Retângulo de cantos arredondados 4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 macro="" textlink="">
      <xdr:nvSpPr>
        <xdr:cNvPr id="37" name="Retângulo de cantos arredondados 4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 macro="" textlink="">
      <xdr:nvSpPr>
        <xdr:cNvPr id="38" name="Retângulo de cantos arredondados 4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225868</xdr:colOff>
      <xdr:row>34</xdr:row>
      <xdr:rowOff>15614</xdr:rowOff>
    </xdr:to>
    <xdr:sp macro="" textlink="">
      <xdr:nvSpPr>
        <xdr:cNvPr id="39" name="Retângulo de cantos arredondados 4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 macro="" textlink="">
      <xdr:nvSpPr>
        <xdr:cNvPr id="40" name="Retângulo de cantos arredondados 4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 macro="" textlink="">
      <xdr:nvSpPr>
        <xdr:cNvPr id="41" name="Retângulo de cantos arredondados 4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 macro="" textlink="">
      <xdr:nvSpPr>
        <xdr:cNvPr id="42" name="Retângulo de cantos arredondados 4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 macro="" textlink="">
      <xdr:nvSpPr>
        <xdr:cNvPr id="43" name="Retângulo de cantos arredondados 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 macro="" textlink="">
      <xdr:nvSpPr>
        <xdr:cNvPr id="44" name="Retângulo de cantos arredondados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 macro="" textlink="">
      <xdr:nvSpPr>
        <xdr:cNvPr id="45" name="Retângulo de cantos arredondados 4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 macro="" textlink="">
      <xdr:nvSpPr>
        <xdr:cNvPr id="46" name="Retângulo de cantos arredondados 4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 macro="" textlink="">
      <xdr:nvSpPr>
        <xdr:cNvPr id="47" name="Retângulo de cantos arredondados 4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 macro="" textlink="">
      <xdr:nvSpPr>
        <xdr:cNvPr id="48" name="Retângulo de cantos arredondados 4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 macro="" textlink="">
      <xdr:nvSpPr>
        <xdr:cNvPr id="49" name="Retângulo de cantos arredondados 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00000000-0008-0000-0100-000031000000}"/>
            </a:ext>
          </a:extLst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 macro="" textlink="">
      <xdr:nvSpPr>
        <xdr:cNvPr id="50" name="Retângulo de cantos arredondados 4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xmlns="" id="{00000000-0008-0000-0100-000032000000}"/>
            </a:ext>
          </a:extLst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 macro="" textlink="">
      <xdr:nvSpPr>
        <xdr:cNvPr id="51" name="Retângulo de cantos arredondados 4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xmlns="" id="{00000000-0008-0000-0100-000033000000}"/>
            </a:ext>
          </a:extLst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 macro="" textlink="">
      <xdr:nvSpPr>
        <xdr:cNvPr id="52" name="Retângulo de cantos arredondados 4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xmlns="" id="{00000000-0008-0000-0100-000034000000}"/>
            </a:ext>
          </a:extLst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 macro="" textlink="">
      <xdr:nvSpPr>
        <xdr:cNvPr id="53" name="Retângulo de cantos arredondados 4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xmlns="" id="{00000000-0008-0000-0100-000035000000}"/>
            </a:ext>
          </a:extLst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 macro="" textlink="">
      <xdr:nvSpPr>
        <xdr:cNvPr id="54" name="Retângulo de cantos arredondados 4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xmlns="" id="{00000000-0008-0000-0100-000036000000}"/>
            </a:ext>
          </a:extLst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  <xdr:twoCellAnchor editAs="oneCell">
    <xdr:from>
      <xdr:col>1</xdr:col>
      <xdr:colOff>0</xdr:colOff>
      <xdr:row>42</xdr:row>
      <xdr:rowOff>9525</xdr:rowOff>
    </xdr:from>
    <xdr:to>
      <xdr:col>2</xdr:col>
      <xdr:colOff>333375</xdr:colOff>
      <xdr:row>44</xdr:row>
      <xdr:rowOff>95437</xdr:rowOff>
    </xdr:to>
    <xdr:sp macro="" textlink="">
      <xdr:nvSpPr>
        <xdr:cNvPr id="55" name="Retângulo de cantos arredondados 4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xmlns="" id="{00000000-0008-0000-0100-000037000000}"/>
            </a:ext>
          </a:extLst>
        </xdr:cNvPr>
        <xdr:cNvSpPr/>
      </xdr:nvSpPr>
      <xdr:spPr bwMode="auto">
        <a:xfrm>
          <a:off x="533400" y="73818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Acre</a:t>
          </a:r>
          <a:endParaRPr/>
        </a:p>
      </xdr:txBody>
    </xdr:sp>
    <xdr:clientData/>
  </xdr:twoCellAnchor>
  <xdr:twoCellAnchor editAs="oneCell">
    <xdr:from>
      <xdr:col>2</xdr:col>
      <xdr:colOff>447675</xdr:colOff>
      <xdr:row>42</xdr:row>
      <xdr:rowOff>9525</xdr:rowOff>
    </xdr:from>
    <xdr:to>
      <xdr:col>4</xdr:col>
      <xdr:colOff>266700</xdr:colOff>
      <xdr:row>44</xdr:row>
      <xdr:rowOff>95437</xdr:rowOff>
    </xdr:to>
    <xdr:sp macro="" textlink="">
      <xdr:nvSpPr>
        <xdr:cNvPr id="56" name="Retângulo de cantos arredondados 4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xmlns="" id="{00000000-0008-0000-0100-000038000000}"/>
            </a:ext>
          </a:extLst>
        </xdr:cNvPr>
        <xdr:cNvSpPr/>
      </xdr:nvSpPr>
      <xdr:spPr bwMode="auto">
        <a:xfrm>
          <a:off x="1514475" y="7381875"/>
          <a:ext cx="8858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Alagoas</a:t>
          </a:r>
          <a:endParaRPr/>
        </a:p>
      </xdr:txBody>
    </xdr:sp>
    <xdr:clientData/>
  </xdr:twoCellAnchor>
  <xdr:twoCellAnchor editAs="oneCell">
    <xdr:from>
      <xdr:col>4</xdr:col>
      <xdr:colOff>352424</xdr:colOff>
      <xdr:row>42</xdr:row>
      <xdr:rowOff>9525</xdr:rowOff>
    </xdr:from>
    <xdr:to>
      <xdr:col>6</xdr:col>
      <xdr:colOff>323849</xdr:colOff>
      <xdr:row>44</xdr:row>
      <xdr:rowOff>95437</xdr:rowOff>
    </xdr:to>
    <xdr:sp macro="" textlink="">
      <xdr:nvSpPr>
        <xdr:cNvPr id="57" name="Retângulo de cantos arredondados 4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xmlns="" id="{00000000-0008-0000-0100-000039000000}"/>
            </a:ext>
          </a:extLst>
        </xdr:cNvPr>
        <xdr:cNvSpPr/>
      </xdr:nvSpPr>
      <xdr:spPr bwMode="auto">
        <a:xfrm>
          <a:off x="2486025" y="738187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Amazonas</a:t>
          </a:r>
          <a:endParaRPr/>
        </a:p>
      </xdr:txBody>
    </xdr:sp>
    <xdr:clientData/>
  </xdr:twoCellAnchor>
  <xdr:twoCellAnchor editAs="oneCell">
    <xdr:from>
      <xdr:col>6</xdr:col>
      <xdr:colOff>457200</xdr:colOff>
      <xdr:row>42</xdr:row>
      <xdr:rowOff>0</xdr:rowOff>
    </xdr:from>
    <xdr:to>
      <xdr:col>8</xdr:col>
      <xdr:colOff>428625</xdr:colOff>
      <xdr:row>44</xdr:row>
      <xdr:rowOff>85912</xdr:rowOff>
    </xdr:to>
    <xdr:sp macro="" textlink="">
      <xdr:nvSpPr>
        <xdr:cNvPr id="58" name="Retângulo de cantos arredondados 4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xmlns="" id="{00000000-0008-0000-0100-00003A000000}"/>
            </a:ext>
          </a:extLst>
        </xdr:cNvPr>
        <xdr:cNvSpPr/>
      </xdr:nvSpPr>
      <xdr:spPr bwMode="auto">
        <a:xfrm>
          <a:off x="3657600" y="737235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Amapá</a:t>
          </a:r>
          <a:endParaRPr/>
        </a:p>
      </xdr:txBody>
    </xdr:sp>
    <xdr:clientData/>
  </xdr:twoCellAnchor>
  <xdr:twoCellAnchor editAs="oneCell">
    <xdr:from>
      <xdr:col>9</xdr:col>
      <xdr:colOff>209550</xdr:colOff>
      <xdr:row>42</xdr:row>
      <xdr:rowOff>19050</xdr:rowOff>
    </xdr:from>
    <xdr:to>
      <xdr:col>11</xdr:col>
      <xdr:colOff>180975</xdr:colOff>
      <xdr:row>44</xdr:row>
      <xdr:rowOff>104962</xdr:rowOff>
    </xdr:to>
    <xdr:sp macro="" textlink="">
      <xdr:nvSpPr>
        <xdr:cNvPr id="59" name="Retângulo de cantos arredondados 4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xmlns="" id="{00000000-0008-0000-0100-00003B000000}"/>
            </a:ext>
          </a:extLst>
        </xdr:cNvPr>
        <xdr:cNvSpPr/>
      </xdr:nvSpPr>
      <xdr:spPr bwMode="auto">
        <a:xfrm>
          <a:off x="5010149" y="7391400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Bahia</a:t>
          </a:r>
          <a:endParaRPr/>
        </a:p>
      </xdr:txBody>
    </xdr:sp>
    <xdr:clientData/>
  </xdr:twoCellAnchor>
  <xdr:twoCellAnchor editAs="oneCell">
    <xdr:from>
      <xdr:col>11</xdr:col>
      <xdr:colOff>514350</xdr:colOff>
      <xdr:row>42</xdr:row>
      <xdr:rowOff>28575</xdr:rowOff>
    </xdr:from>
    <xdr:to>
      <xdr:col>13</xdr:col>
      <xdr:colOff>485775</xdr:colOff>
      <xdr:row>44</xdr:row>
      <xdr:rowOff>114487</xdr:rowOff>
    </xdr:to>
    <xdr:sp macro="" textlink="">
      <xdr:nvSpPr>
        <xdr:cNvPr id="60" name="Retângulo de cantos arredondados 4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xmlns="" id="{00000000-0008-0000-0100-00003C000000}"/>
            </a:ext>
          </a:extLst>
        </xdr:cNvPr>
        <xdr:cNvSpPr/>
      </xdr:nvSpPr>
      <xdr:spPr bwMode="auto">
        <a:xfrm>
          <a:off x="6381750" y="7400925"/>
          <a:ext cx="10382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Ceará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42</xdr:row>
      <xdr:rowOff>19050</xdr:rowOff>
    </xdr:from>
    <xdr:to>
      <xdr:col>17</xdr:col>
      <xdr:colOff>285750</xdr:colOff>
      <xdr:row>44</xdr:row>
      <xdr:rowOff>104962</xdr:rowOff>
    </xdr:to>
    <xdr:sp macro="" textlink="">
      <xdr:nvSpPr>
        <xdr:cNvPr id="61" name="Retângulo de cantos arredondados 4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xmlns="" id="{00000000-0008-0000-0100-00003D000000}"/>
            </a:ext>
          </a:extLst>
        </xdr:cNvPr>
        <xdr:cNvSpPr/>
      </xdr:nvSpPr>
      <xdr:spPr bwMode="auto">
        <a:xfrm>
          <a:off x="7800975" y="73914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Distrito Federal</a:t>
          </a:r>
          <a:endParaRPr/>
        </a:p>
      </xdr:txBody>
    </xdr:sp>
    <xdr:clientData/>
  </xdr:twoCellAnchor>
  <xdr:twoCellAnchor editAs="oneCell">
    <xdr:from>
      <xdr:col>1</xdr:col>
      <xdr:colOff>19050</xdr:colOff>
      <xdr:row>45</xdr:row>
      <xdr:rowOff>142875</xdr:rowOff>
    </xdr:from>
    <xdr:to>
      <xdr:col>3</xdr:col>
      <xdr:colOff>152400</xdr:colOff>
      <xdr:row>48</xdr:row>
      <xdr:rowOff>66862</xdr:rowOff>
    </xdr:to>
    <xdr:sp macro="" textlink="">
      <xdr:nvSpPr>
        <xdr:cNvPr id="62" name="Retângulo de cantos arredondados 4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xmlns="" id="{00000000-0008-0000-0100-00003E000000}"/>
            </a:ext>
          </a:extLst>
        </xdr:cNvPr>
        <xdr:cNvSpPr/>
      </xdr:nvSpPr>
      <xdr:spPr bwMode="auto">
        <a:xfrm>
          <a:off x="5524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Espírito Santo</a:t>
          </a:r>
          <a:endParaRPr/>
        </a:p>
      </xdr:txBody>
    </xdr:sp>
    <xdr:clientData/>
  </xdr:twoCellAnchor>
  <xdr:twoCellAnchor editAs="oneCell">
    <xdr:from>
      <xdr:col>3</xdr:col>
      <xdr:colOff>419100</xdr:colOff>
      <xdr:row>45</xdr:row>
      <xdr:rowOff>142875</xdr:rowOff>
    </xdr:from>
    <xdr:to>
      <xdr:col>5</xdr:col>
      <xdr:colOff>219075</xdr:colOff>
      <xdr:row>48</xdr:row>
      <xdr:rowOff>66862</xdr:rowOff>
    </xdr:to>
    <xdr:sp macro="" textlink="">
      <xdr:nvSpPr>
        <xdr:cNvPr id="63" name="Retângulo de cantos arredondados 4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xmlns="" id="{00000000-0008-0000-0100-00003F000000}"/>
            </a:ext>
          </a:extLst>
        </xdr:cNvPr>
        <xdr:cNvSpPr/>
      </xdr:nvSpPr>
      <xdr:spPr bwMode="auto">
        <a:xfrm>
          <a:off x="2019300" y="80010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Goiás</a:t>
          </a:r>
          <a:endParaRPr/>
        </a:p>
      </xdr:txBody>
    </xdr:sp>
    <xdr:clientData/>
  </xdr:twoCellAnchor>
  <xdr:twoCellAnchor editAs="oneCell">
    <xdr:from>
      <xdr:col>5</xdr:col>
      <xdr:colOff>438150</xdr:colOff>
      <xdr:row>45</xdr:row>
      <xdr:rowOff>133350</xdr:rowOff>
    </xdr:from>
    <xdr:to>
      <xdr:col>7</xdr:col>
      <xdr:colOff>342900</xdr:colOff>
      <xdr:row>48</xdr:row>
      <xdr:rowOff>57337</xdr:rowOff>
    </xdr:to>
    <xdr:sp macro="" textlink="">
      <xdr:nvSpPr>
        <xdr:cNvPr id="64" name="Retângulo de cantos arredondados 4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xmlns="" id="{00000000-0008-0000-0100-000040000000}"/>
            </a:ext>
          </a:extLst>
        </xdr:cNvPr>
        <xdr:cNvSpPr/>
      </xdr:nvSpPr>
      <xdr:spPr bwMode="auto">
        <a:xfrm>
          <a:off x="3105150" y="7991475"/>
          <a:ext cx="9715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Maranhão</a:t>
          </a:r>
          <a:endParaRPr/>
        </a:p>
      </xdr:txBody>
    </xdr:sp>
    <xdr:clientData/>
  </xdr:twoCellAnchor>
  <xdr:twoCellAnchor editAs="oneCell">
    <xdr:from>
      <xdr:col>8</xdr:col>
      <xdr:colOff>19050</xdr:colOff>
      <xdr:row>45</xdr:row>
      <xdr:rowOff>142875</xdr:rowOff>
    </xdr:from>
    <xdr:to>
      <xdr:col>10</xdr:col>
      <xdr:colOff>152400</xdr:colOff>
      <xdr:row>48</xdr:row>
      <xdr:rowOff>66862</xdr:rowOff>
    </xdr:to>
    <xdr:sp macro="" textlink="">
      <xdr:nvSpPr>
        <xdr:cNvPr id="65" name="Retângulo de cantos arredondados 4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xmlns="" id="{00000000-0008-0000-0100-000041000000}"/>
            </a:ext>
          </a:extLst>
        </xdr:cNvPr>
        <xdr:cNvSpPr/>
      </xdr:nvSpPr>
      <xdr:spPr bwMode="auto">
        <a:xfrm>
          <a:off x="4286250" y="8001000"/>
          <a:ext cx="12001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Minas Gerais</a:t>
          </a:r>
          <a:endParaRPr/>
        </a:p>
      </xdr:txBody>
    </xdr:sp>
    <xdr:clientData/>
  </xdr:twoCellAnchor>
  <xdr:twoCellAnchor editAs="oneCell">
    <xdr:from>
      <xdr:col>11</xdr:col>
      <xdr:colOff>19049</xdr:colOff>
      <xdr:row>45</xdr:row>
      <xdr:rowOff>142875</xdr:rowOff>
    </xdr:from>
    <xdr:to>
      <xdr:col>13</xdr:col>
      <xdr:colOff>504824</xdr:colOff>
      <xdr:row>48</xdr:row>
      <xdr:rowOff>66862</xdr:rowOff>
    </xdr:to>
    <xdr:sp macro="" textlink="">
      <xdr:nvSpPr>
        <xdr:cNvPr id="66" name="Retângulo de cantos arredondados 4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xmlns="" id="{00000000-0008-0000-0100-000042000000}"/>
            </a:ext>
          </a:extLst>
        </xdr:cNvPr>
        <xdr:cNvSpPr/>
      </xdr:nvSpPr>
      <xdr:spPr bwMode="auto">
        <a:xfrm>
          <a:off x="5886449" y="800100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 do Sul</a:t>
          </a:r>
          <a:endParaRPr/>
        </a:p>
      </xdr:txBody>
    </xdr:sp>
    <xdr:clientData/>
  </xdr:twoCellAnchor>
  <xdr:twoCellAnchor editAs="oneCell">
    <xdr:from>
      <xdr:col>14</xdr:col>
      <xdr:colOff>333375</xdr:colOff>
      <xdr:row>45</xdr:row>
      <xdr:rowOff>123824</xdr:rowOff>
    </xdr:from>
    <xdr:to>
      <xdr:col>17</xdr:col>
      <xdr:colOff>285750</xdr:colOff>
      <xdr:row>48</xdr:row>
      <xdr:rowOff>47812</xdr:rowOff>
    </xdr:to>
    <xdr:sp macro="" textlink="">
      <xdr:nvSpPr>
        <xdr:cNvPr id="67" name="Retângulo de cantos arredondados 4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xmlns="" id="{00000000-0008-0000-0100-000043000000}"/>
            </a:ext>
          </a:extLst>
        </xdr:cNvPr>
        <xdr:cNvSpPr/>
      </xdr:nvSpPr>
      <xdr:spPr bwMode="auto">
        <a:xfrm>
          <a:off x="7800975" y="79819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Mato Grosso</a:t>
          </a:r>
          <a:endParaRPr/>
        </a:p>
      </xdr:txBody>
    </xdr:sp>
    <xdr:clientData/>
  </xdr:twoCellAnchor>
  <xdr:twoCellAnchor editAs="oneCell">
    <xdr:from>
      <xdr:col>1</xdr:col>
      <xdr:colOff>19050</xdr:colOff>
      <xdr:row>48</xdr:row>
      <xdr:rowOff>142875</xdr:rowOff>
    </xdr:from>
    <xdr:to>
      <xdr:col>2</xdr:col>
      <xdr:colOff>352424</xdr:colOff>
      <xdr:row>51</xdr:row>
      <xdr:rowOff>66862</xdr:rowOff>
    </xdr:to>
    <xdr:sp macro="" textlink="">
      <xdr:nvSpPr>
        <xdr:cNvPr id="68" name="Retângulo de cantos arredondados 4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xmlns="" id="{00000000-0008-0000-0100-000044000000}"/>
            </a:ext>
          </a:extLst>
        </xdr:cNvPr>
        <xdr:cNvSpPr/>
      </xdr:nvSpPr>
      <xdr:spPr bwMode="auto">
        <a:xfrm>
          <a:off x="5524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Pará</a:t>
          </a:r>
          <a:endParaRPr/>
        </a:p>
      </xdr:txBody>
    </xdr:sp>
    <xdr:clientData/>
  </xdr:twoCellAnchor>
  <xdr:twoCellAnchor editAs="oneCell">
    <xdr:from>
      <xdr:col>3</xdr:col>
      <xdr:colOff>19050</xdr:colOff>
      <xdr:row>48</xdr:row>
      <xdr:rowOff>142875</xdr:rowOff>
    </xdr:from>
    <xdr:to>
      <xdr:col>4</xdr:col>
      <xdr:colOff>352424</xdr:colOff>
      <xdr:row>51</xdr:row>
      <xdr:rowOff>66862</xdr:rowOff>
    </xdr:to>
    <xdr:sp macro="" textlink="">
      <xdr:nvSpPr>
        <xdr:cNvPr id="69" name="Retângulo de cantos arredondados 4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xmlns="" id="{00000000-0008-0000-0100-000045000000}"/>
            </a:ext>
          </a:extLst>
        </xdr:cNvPr>
        <xdr:cNvSpPr/>
      </xdr:nvSpPr>
      <xdr:spPr bwMode="auto">
        <a:xfrm>
          <a:off x="1619250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Paraíba</a:t>
          </a:r>
          <a:endParaRPr/>
        </a:p>
      </xdr:txBody>
    </xdr:sp>
    <xdr:clientData/>
  </xdr:twoCellAnchor>
  <xdr:twoCellAnchor editAs="oneCell">
    <xdr:from>
      <xdr:col>5</xdr:col>
      <xdr:colOff>19050</xdr:colOff>
      <xdr:row>48</xdr:row>
      <xdr:rowOff>142875</xdr:rowOff>
    </xdr:from>
    <xdr:to>
      <xdr:col>7</xdr:col>
      <xdr:colOff>95250</xdr:colOff>
      <xdr:row>51</xdr:row>
      <xdr:rowOff>66862</xdr:rowOff>
    </xdr:to>
    <xdr:sp macro="" textlink="">
      <xdr:nvSpPr>
        <xdr:cNvPr id="70" name="Retângulo de cantos arredondados 4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xmlns="" id="{00000000-0008-0000-0100-000046000000}"/>
            </a:ext>
          </a:extLst>
        </xdr:cNvPr>
        <xdr:cNvSpPr/>
      </xdr:nvSpPr>
      <xdr:spPr bwMode="auto">
        <a:xfrm>
          <a:off x="2686050" y="8486775"/>
          <a:ext cx="11430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Pernambuco</a:t>
          </a:r>
          <a:endParaRPr/>
        </a:p>
      </xdr:txBody>
    </xdr:sp>
    <xdr:clientData/>
  </xdr:twoCellAnchor>
  <xdr:twoCellAnchor editAs="oneCell">
    <xdr:from>
      <xdr:col>7</xdr:col>
      <xdr:colOff>304800</xdr:colOff>
      <xdr:row>48</xdr:row>
      <xdr:rowOff>152400</xdr:rowOff>
    </xdr:from>
    <xdr:to>
      <xdr:col>9</xdr:col>
      <xdr:colOff>104775</xdr:colOff>
      <xdr:row>51</xdr:row>
      <xdr:rowOff>76387</xdr:rowOff>
    </xdr:to>
    <xdr:sp macro="" textlink="">
      <xdr:nvSpPr>
        <xdr:cNvPr id="71" name="Retângulo de cantos arredondados 4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xmlns="" id="{00000000-0008-0000-0100-000047000000}"/>
            </a:ext>
          </a:extLst>
        </xdr:cNvPr>
        <xdr:cNvSpPr/>
      </xdr:nvSpPr>
      <xdr:spPr bwMode="auto">
        <a:xfrm>
          <a:off x="4038600" y="8496300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Piauí</a:t>
          </a:r>
          <a:endParaRPr/>
        </a:p>
      </xdr:txBody>
    </xdr:sp>
    <xdr:clientData/>
  </xdr:twoCellAnchor>
  <xdr:twoCellAnchor editAs="oneCell">
    <xdr:from>
      <xdr:col>9</xdr:col>
      <xdr:colOff>295274</xdr:colOff>
      <xdr:row>48</xdr:row>
      <xdr:rowOff>142875</xdr:rowOff>
    </xdr:from>
    <xdr:to>
      <xdr:col>11</xdr:col>
      <xdr:colOff>95250</xdr:colOff>
      <xdr:row>51</xdr:row>
      <xdr:rowOff>66862</xdr:rowOff>
    </xdr:to>
    <xdr:sp macro="" textlink="">
      <xdr:nvSpPr>
        <xdr:cNvPr id="72" name="Retângulo de cantos arredondados 4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xmlns="" id="{00000000-0008-0000-0100-000048000000}"/>
            </a:ext>
          </a:extLst>
        </xdr:cNvPr>
        <xdr:cNvSpPr/>
      </xdr:nvSpPr>
      <xdr:spPr bwMode="auto">
        <a:xfrm>
          <a:off x="5095875" y="8486775"/>
          <a:ext cx="8667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Paraná</a:t>
          </a:r>
          <a:endParaRPr/>
        </a:p>
      </xdr:txBody>
    </xdr:sp>
    <xdr:clientData/>
  </xdr:twoCellAnchor>
  <xdr:twoCellAnchor editAs="oneCell">
    <xdr:from>
      <xdr:col>11</xdr:col>
      <xdr:colOff>228600</xdr:colOff>
      <xdr:row>48</xdr:row>
      <xdr:rowOff>142875</xdr:rowOff>
    </xdr:from>
    <xdr:to>
      <xdr:col>14</xdr:col>
      <xdr:colOff>180975</xdr:colOff>
      <xdr:row>51</xdr:row>
      <xdr:rowOff>66862</xdr:rowOff>
    </xdr:to>
    <xdr:sp macro="" textlink="">
      <xdr:nvSpPr>
        <xdr:cNvPr id="73" name="Retângulo de cantos arredondados 4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xmlns="" id="{00000000-0008-0000-0100-000049000000}"/>
            </a:ext>
          </a:extLst>
        </xdr:cNvPr>
        <xdr:cNvSpPr/>
      </xdr:nvSpPr>
      <xdr:spPr bwMode="auto">
        <a:xfrm>
          <a:off x="6096000" y="8486775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de Janeiro</a:t>
          </a:r>
          <a:endParaRPr/>
        </a:p>
      </xdr:txBody>
    </xdr:sp>
    <xdr:clientData/>
  </xdr:twoCellAnchor>
  <xdr:twoCellAnchor editAs="oneCell">
    <xdr:from>
      <xdr:col>14</xdr:col>
      <xdr:colOff>361950</xdr:colOff>
      <xdr:row>48</xdr:row>
      <xdr:rowOff>133350</xdr:rowOff>
    </xdr:from>
    <xdr:to>
      <xdr:col>17</xdr:col>
      <xdr:colOff>314323</xdr:colOff>
      <xdr:row>51</xdr:row>
      <xdr:rowOff>57337</xdr:rowOff>
    </xdr:to>
    <xdr:sp macro="" textlink="">
      <xdr:nvSpPr>
        <xdr:cNvPr id="74" name="Retângulo de cantos arredondados 4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xmlns="" id="{00000000-0008-0000-0100-00004A000000}"/>
            </a:ext>
          </a:extLst>
        </xdr:cNvPr>
        <xdr:cNvSpPr/>
      </xdr:nvSpPr>
      <xdr:spPr bwMode="auto">
        <a:xfrm>
          <a:off x="7829550" y="8477250"/>
          <a:ext cx="15525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Norte</a:t>
          </a:r>
          <a:endParaRPr/>
        </a:p>
      </xdr:txBody>
    </xdr:sp>
    <xdr:clientData/>
  </xdr:twoCellAnchor>
  <xdr:twoCellAnchor editAs="oneCell">
    <xdr:from>
      <xdr:col>1</xdr:col>
      <xdr:colOff>19050</xdr:colOff>
      <xdr:row>51</xdr:row>
      <xdr:rowOff>142875</xdr:rowOff>
    </xdr:from>
    <xdr:to>
      <xdr:col>3</xdr:col>
      <xdr:colOff>9525</xdr:colOff>
      <xdr:row>54</xdr:row>
      <xdr:rowOff>66862</xdr:rowOff>
    </xdr:to>
    <xdr:sp macro="" textlink="">
      <xdr:nvSpPr>
        <xdr:cNvPr id="75" name="Retângulo de cantos arredondados 4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xmlns="" id="{00000000-0008-0000-0100-00004B000000}"/>
            </a:ext>
          </a:extLst>
        </xdr:cNvPr>
        <xdr:cNvSpPr/>
      </xdr:nvSpPr>
      <xdr:spPr bwMode="auto">
        <a:xfrm>
          <a:off x="552450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Rondônia</a:t>
          </a:r>
          <a:endParaRPr/>
        </a:p>
      </xdr:txBody>
    </xdr:sp>
    <xdr:clientData/>
  </xdr:twoCellAnchor>
  <xdr:twoCellAnchor editAs="oneCell">
    <xdr:from>
      <xdr:col>3</xdr:col>
      <xdr:colOff>104775</xdr:colOff>
      <xdr:row>51</xdr:row>
      <xdr:rowOff>142875</xdr:rowOff>
    </xdr:from>
    <xdr:to>
      <xdr:col>5</xdr:col>
      <xdr:colOff>95250</xdr:colOff>
      <xdr:row>54</xdr:row>
      <xdr:rowOff>66862</xdr:rowOff>
    </xdr:to>
    <xdr:sp macro="" textlink="">
      <xdr:nvSpPr>
        <xdr:cNvPr id="76" name="Retângulo de cantos arredondados 4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xmlns="" id="{00000000-0008-0000-0100-00004C000000}"/>
            </a:ext>
          </a:extLst>
        </xdr:cNvPr>
        <xdr:cNvSpPr/>
      </xdr:nvSpPr>
      <xdr:spPr bwMode="auto">
        <a:xfrm>
          <a:off x="1704975" y="8972550"/>
          <a:ext cx="105727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Roraima</a:t>
          </a:r>
          <a:endParaRPr/>
        </a:p>
      </xdr:txBody>
    </xdr:sp>
    <xdr:clientData/>
  </xdr:twoCellAnchor>
  <xdr:twoCellAnchor editAs="oneCell">
    <xdr:from>
      <xdr:col>5</xdr:col>
      <xdr:colOff>180976</xdr:colOff>
      <xdr:row>51</xdr:row>
      <xdr:rowOff>142875</xdr:rowOff>
    </xdr:from>
    <xdr:to>
      <xdr:col>8</xdr:col>
      <xdr:colOff>133350</xdr:colOff>
      <xdr:row>54</xdr:row>
      <xdr:rowOff>66862</xdr:rowOff>
    </xdr:to>
    <xdr:sp macro="" textlink="">
      <xdr:nvSpPr>
        <xdr:cNvPr id="77" name="Retângulo de cantos arredondados 4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xmlns="" id="{00000000-0008-0000-0100-00004D000000}"/>
            </a:ext>
          </a:extLst>
        </xdr:cNvPr>
        <xdr:cNvSpPr/>
      </xdr:nvSpPr>
      <xdr:spPr bwMode="auto">
        <a:xfrm>
          <a:off x="2847976" y="8972550"/>
          <a:ext cx="1552574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Rio Grande do Sul</a:t>
          </a:r>
          <a:endParaRPr/>
        </a:p>
      </xdr:txBody>
    </xdr:sp>
    <xdr:clientData/>
  </xdr:twoCellAnchor>
  <xdr:twoCellAnchor editAs="oneCell">
    <xdr:from>
      <xdr:col>8</xdr:col>
      <xdr:colOff>371475</xdr:colOff>
      <xdr:row>51</xdr:row>
      <xdr:rowOff>152400</xdr:rowOff>
    </xdr:from>
    <xdr:to>
      <xdr:col>11</xdr:col>
      <xdr:colOff>66675</xdr:colOff>
      <xdr:row>54</xdr:row>
      <xdr:rowOff>76387</xdr:rowOff>
    </xdr:to>
    <xdr:sp macro="" textlink="">
      <xdr:nvSpPr>
        <xdr:cNvPr id="78" name="Retângulo de cantos arredondados 4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xmlns="" id="{00000000-0008-0000-0100-00004E000000}"/>
            </a:ext>
          </a:extLst>
        </xdr:cNvPr>
        <xdr:cNvSpPr/>
      </xdr:nvSpPr>
      <xdr:spPr bwMode="auto">
        <a:xfrm>
          <a:off x="4638675" y="8982075"/>
          <a:ext cx="12954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Santa Catarina</a:t>
          </a:r>
          <a:endParaRPr/>
        </a:p>
      </xdr:txBody>
    </xdr:sp>
    <xdr:clientData/>
  </xdr:twoCellAnchor>
  <xdr:twoCellAnchor editAs="oneCell">
    <xdr:from>
      <xdr:col>11</xdr:col>
      <xdr:colOff>276226</xdr:colOff>
      <xdr:row>52</xdr:row>
      <xdr:rowOff>0</xdr:rowOff>
    </xdr:from>
    <xdr:to>
      <xdr:col>12</xdr:col>
      <xdr:colOff>485775</xdr:colOff>
      <xdr:row>54</xdr:row>
      <xdr:rowOff>85912</xdr:rowOff>
    </xdr:to>
    <xdr:sp macro="" textlink="">
      <xdr:nvSpPr>
        <xdr:cNvPr id="79" name="Retângulo de cantos arredondados 4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xmlns="" id="{00000000-0008-0000-0100-00004F000000}"/>
            </a:ext>
          </a:extLst>
        </xdr:cNvPr>
        <xdr:cNvSpPr/>
      </xdr:nvSpPr>
      <xdr:spPr bwMode="auto">
        <a:xfrm>
          <a:off x="6143626" y="8991600"/>
          <a:ext cx="74295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Sergipe</a:t>
          </a:r>
          <a:endParaRPr/>
        </a:p>
      </xdr:txBody>
    </xdr:sp>
    <xdr:clientData/>
  </xdr:twoCellAnchor>
  <xdr:twoCellAnchor editAs="oneCell">
    <xdr:from>
      <xdr:col>13</xdr:col>
      <xdr:colOff>133349</xdr:colOff>
      <xdr:row>51</xdr:row>
      <xdr:rowOff>152400</xdr:rowOff>
    </xdr:from>
    <xdr:to>
      <xdr:col>15</xdr:col>
      <xdr:colOff>219074</xdr:colOff>
      <xdr:row>54</xdr:row>
      <xdr:rowOff>76387</xdr:rowOff>
    </xdr:to>
    <xdr:sp macro="" textlink="">
      <xdr:nvSpPr>
        <xdr:cNvPr id="80" name="Retângulo de cantos arredondados 4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xmlns="" id="{00000000-0008-0000-0100-000050000000}"/>
            </a:ext>
          </a:extLst>
        </xdr:cNvPr>
        <xdr:cNvSpPr/>
      </xdr:nvSpPr>
      <xdr:spPr bwMode="auto">
        <a:xfrm>
          <a:off x="7067549" y="8982075"/>
          <a:ext cx="1152525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São Paulo</a:t>
          </a:r>
          <a:endParaRPr/>
        </a:p>
      </xdr:txBody>
    </xdr:sp>
    <xdr:clientData/>
  </xdr:twoCellAnchor>
  <xdr:twoCellAnchor editAs="oneCell">
    <xdr:from>
      <xdr:col>15</xdr:col>
      <xdr:colOff>447675</xdr:colOff>
      <xdr:row>51</xdr:row>
      <xdr:rowOff>133350</xdr:rowOff>
    </xdr:from>
    <xdr:to>
      <xdr:col>17</xdr:col>
      <xdr:colOff>333375</xdr:colOff>
      <xdr:row>54</xdr:row>
      <xdr:rowOff>57337</xdr:rowOff>
    </xdr:to>
    <xdr:sp macro="" textlink="">
      <xdr:nvSpPr>
        <xdr:cNvPr id="81" name="Retângulo de cantos arredondados 4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xmlns="" id="{00000000-0008-0000-0100-000051000000}"/>
            </a:ext>
          </a:extLst>
        </xdr:cNvPr>
        <xdr:cNvSpPr/>
      </xdr:nvSpPr>
      <xdr:spPr bwMode="auto">
        <a:xfrm>
          <a:off x="8448675" y="8963025"/>
          <a:ext cx="952500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Tocantins</a:t>
          </a:r>
          <a:endParaRPr/>
        </a:p>
      </xdr:txBody>
    </xdr:sp>
    <xdr:clientData/>
  </xdr:twoCellAnchor>
  <xdr:twoCellAnchor editAs="oneCell">
    <xdr:from>
      <xdr:col>6</xdr:col>
      <xdr:colOff>439936</xdr:colOff>
      <xdr:row>37</xdr:row>
      <xdr:rowOff>140371</xdr:rowOff>
    </xdr:from>
    <xdr:to>
      <xdr:col>8</xdr:col>
      <xdr:colOff>404815</xdr:colOff>
      <xdr:row>40</xdr:row>
      <xdr:rowOff>79000</xdr:rowOff>
    </xdr:to>
    <xdr:sp macro="" textlink="">
      <xdr:nvSpPr>
        <xdr:cNvPr id="82" name="Retângulo de cantos arredondados 4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xmlns="" id="{00000000-0008-0000-0100-000052000000}"/>
            </a:ext>
          </a:extLst>
        </xdr:cNvPr>
        <xdr:cNvSpPr/>
      </xdr:nvSpPr>
      <xdr:spPr bwMode="auto">
        <a:xfrm>
          <a:off x="3667231" y="6516518"/>
          <a:ext cx="1040643" cy="40927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1</xdr:row>
      <xdr:rowOff>1413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xmlns="" id="{00000000-0008-0000-0300-000037000000}"/>
            </a:ext>
          </a:extLst>
        </xdr:cNvPr>
        <xdr:cNvGrpSpPr/>
      </xdr:nvGrpSpPr>
      <xdr:grpSpPr bwMode="auto">
        <a:xfrm>
          <a:off x="0" y="0"/>
          <a:ext cx="7214007" cy="1043560"/>
          <a:chOff x="1" y="1"/>
          <a:chExt cx="7302938" cy="1017882"/>
        </a:xfrm>
      </xdr:grpSpPr>
      <xdr:pic>
        <xdr:nvPicPr>
          <xdr:cNvPr id="4" name="Image 1_1">
            <a:extLst>
              <a:ext uri="{FF2B5EF4-FFF2-40B4-BE49-F238E27FC236}">
                <a16:creationId xmlns:a16="http://schemas.microsoft.com/office/drawing/2014/main" xmlns="" id="{00000000-0008-0000-03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3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 macro="" textlink="">
        <xdr:nvSpPr>
          <xdr:cNvPr id="6" name="Text 4">
            <a:extLst>
              <a:ext uri="{FF2B5EF4-FFF2-40B4-BE49-F238E27FC236}">
                <a16:creationId xmlns:a16="http://schemas.microsoft.com/office/drawing/2014/main" xmlns="" id="{00000000-0008-0000-0300-000006000000}"/>
              </a:ext>
            </a:extLst>
          </xdr:cNvPr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24/25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3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135254</xdr:rowOff>
    </xdr:from>
    <xdr:to>
      <xdr:col>8</xdr:col>
      <xdr:colOff>8467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35255"/>
          <a:ext cx="7349067" cy="85620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0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4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8</xdr:col>
      <xdr:colOff>5291</xdr:colOff>
      <xdr:row>5</xdr:row>
      <xdr:rowOff>9330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58750"/>
          <a:ext cx="7291916" cy="85599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228600</xdr:colOff>
      <xdr:row>1</xdr:row>
      <xdr:rowOff>42333</xdr:rowOff>
    </xdr:from>
    <xdr:to>
      <xdr:col>7</xdr:col>
      <xdr:colOff>567267</xdr:colOff>
      <xdr:row>5</xdr:row>
      <xdr:rowOff>77333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200-000006000000}"/>
            </a:ext>
          </a:extLst>
        </xdr:cNvPr>
        <xdr:cNvSpPr/>
      </xdr:nvSpPr>
      <xdr:spPr bwMode="auto">
        <a:xfrm>
          <a:off x="1989667" y="203200"/>
          <a:ext cx="5334000" cy="88166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2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14076"/>
          <a:ext cx="7839075" cy="85747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10</xdr:col>
      <xdr:colOff>44823</xdr:colOff>
      <xdr:row>3</xdr:row>
      <xdr:rowOff>143172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/>
      </xdr:nvSpPr>
      <xdr:spPr bwMode="auto">
        <a:xfrm>
          <a:off x="2011227" y="123452"/>
          <a:ext cx="5877714" cy="8041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5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0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0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52</xdr:row>
      <xdr:rowOff>123646</xdr:rowOff>
    </xdr:from>
    <xdr:to>
      <xdr:col>0</xdr:col>
      <xdr:colOff>1385589</xdr:colOff>
      <xdr:row>61</xdr:row>
      <xdr:rowOff>0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6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85199</xdr:rowOff>
    </xdr:from>
    <xdr:to>
      <xdr:col>11</xdr:col>
      <xdr:colOff>422776</xdr:colOff>
      <xdr:row>3</xdr:row>
      <xdr:rowOff>189125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800-00002D000000}"/>
            </a:ext>
          </a:extLst>
        </xdr:cNvPr>
        <xdr:cNvGrpSpPr/>
      </xdr:nvGrpSpPr>
      <xdr:grpSpPr bwMode="auto">
        <a:xfrm>
          <a:off x="0" y="85199"/>
          <a:ext cx="8177247" cy="1000397"/>
          <a:chOff x="1" y="508000"/>
          <a:chExt cx="8357190" cy="982627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8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5321"/>
            <a:ext cx="7605804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8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8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800-000007000000}"/>
              </a:ext>
            </a:extLst>
          </xdr:cNvPr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Total*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45</xdr:row>
      <xdr:rowOff>119239</xdr:rowOff>
    </xdr:from>
    <xdr:to>
      <xdr:col>1</xdr:col>
      <xdr:colOff>87381</xdr:colOff>
      <xdr:row>47</xdr:row>
      <xdr:rowOff>33483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/>
      </xdr:nvSpPr>
      <xdr:spPr bwMode="auto">
        <a:xfrm>
          <a:off x="152065" y="7141762"/>
          <a:ext cx="1276783" cy="41647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13</xdr:col>
      <xdr:colOff>753533</xdr:colOff>
      <xdr:row>6</xdr:row>
      <xdr:rowOff>211667</xdr:rowOff>
    </xdr:from>
    <xdr:to>
      <xdr:col>19</xdr:col>
      <xdr:colOff>27093</xdr:colOff>
      <xdr:row>28</xdr:row>
      <xdr:rowOff>175260</xdr:rowOff>
    </xdr:to>
    <xdr:sp macro="" textlink="">
      <xdr:nvSpPr>
        <xdr:cNvPr id="8193" name="AutoShape 1" descr="https://apis.mail.yahoo.com/ws/v3/mailboxes/@.id==VjN-1FcLI6iBAGxpAvcaSCg7nE3UoNf-F1S9XUAdWEGBtIYULKFwpvTy9m71gNmfDdvNhHEN9JYvQk17DZ3Hgx7CQQ/messages/@.id==AAJf2UbrxcMOMmkxkvMhzaIPg7m/content/parts/@.id==3/thumbnail?appid=YMailNorrinLaunch">
          <a:extLst>
            <a:ext uri="{FF2B5EF4-FFF2-40B4-BE49-F238E27FC236}">
              <a16:creationId xmlns:a16="http://schemas.microsoft.com/office/drawing/2014/main" xmlns="" id="{00000000-0008-0000-0600-000001200000}"/>
            </a:ext>
          </a:extLst>
        </xdr:cNvPr>
        <xdr:cNvSpPr>
          <a:spLocks noChangeAspect="1" noChangeArrowheads="1"/>
        </xdr:cNvSpPr>
      </xdr:nvSpPr>
      <xdr:spPr bwMode="auto">
        <a:xfrm>
          <a:off x="10329333" y="1803400"/>
          <a:ext cx="3997960" cy="2943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18417</xdr:rowOff>
    </xdr:from>
    <xdr:to>
      <xdr:col>10</xdr:col>
      <xdr:colOff>15240</xdr:colOff>
      <xdr:row>3</xdr:row>
      <xdr:rowOff>129538</xdr:rowOff>
    </xdr:to>
    <xdr:grpSp>
      <xdr:nvGrpSpPr>
        <xdr:cNvPr id="57" name="Agrupar 56">
          <a:extLst>
            <a:ext uri="{FF2B5EF4-FFF2-40B4-BE49-F238E27FC236}">
              <a16:creationId xmlns:a16="http://schemas.microsoft.com/office/drawing/2014/main" xmlns="" id="{00000000-0008-0000-0900-000039000000}"/>
            </a:ext>
          </a:extLst>
        </xdr:cNvPr>
        <xdr:cNvGrpSpPr/>
      </xdr:nvGrpSpPr>
      <xdr:grpSpPr bwMode="auto">
        <a:xfrm>
          <a:off x="0" y="18417"/>
          <a:ext cx="7433534" cy="794680"/>
          <a:chOff x="1" y="508000"/>
          <a:chExt cx="7481847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9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9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275911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9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187427" y="656165"/>
            <a:ext cx="579579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900-000007000000}"/>
              </a:ext>
            </a:extLst>
          </xdr:cNvPr>
          <xdr:cNvSpPr/>
        </xdr:nvSpPr>
        <xdr:spPr bwMode="auto">
          <a:xfrm>
            <a:off x="2307275" y="561690"/>
            <a:ext cx="5042640" cy="875086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595747</xdr:colOff>
      <xdr:row>46</xdr:row>
      <xdr:rowOff>175260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900-000008000000}"/>
            </a:ext>
          </a:extLst>
        </xdr:cNvPr>
        <xdr:cNvSpPr/>
      </xdr:nvSpPr>
      <xdr:spPr bwMode="auto">
        <a:xfrm>
          <a:off x="178370" y="6483221"/>
          <a:ext cx="1827077" cy="4052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A00-00002D000000}"/>
            </a:ext>
          </a:extLst>
        </xdr:cNvPr>
        <xdr:cNvGrpSpPr/>
      </xdr:nvGrpSpPr>
      <xdr:grpSpPr bwMode="auto">
        <a:xfrm>
          <a:off x="9971" y="56517"/>
          <a:ext cx="8180887" cy="1019248"/>
          <a:chOff x="1" y="508000"/>
          <a:chExt cx="818647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A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A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A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A00-000007000000}"/>
              </a:ext>
            </a:extLst>
          </xdr:cNvPr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 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B00-00002D000000}"/>
            </a:ext>
          </a:extLst>
        </xdr:cNvPr>
        <xdr:cNvGrpSpPr/>
      </xdr:nvGrpSpPr>
      <xdr:grpSpPr bwMode="auto">
        <a:xfrm>
          <a:off x="0" y="19645"/>
          <a:ext cx="8204374" cy="989107"/>
          <a:chOff x="1" y="508000"/>
          <a:chExt cx="8331619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B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>
            <a:extLst>
              <a:ext uri="{FF2B5EF4-FFF2-40B4-BE49-F238E27FC236}">
                <a16:creationId xmlns:a16="http://schemas.microsoft.com/office/drawing/2014/main" xmlns="" id="{00000000-0008-0000-0B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>
            <a:extLst>
              <a:ext uri="{FF2B5EF4-FFF2-40B4-BE49-F238E27FC236}">
                <a16:creationId xmlns:a16="http://schemas.microsoft.com/office/drawing/2014/main" xmlns="" id="{00000000-0008-0000-0B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 macro="" textlink="">
        <xdr:nvSpPr>
          <xdr:cNvPr id="7" name="Text 4">
            <a:extLst>
              <a:ext uri="{FF2B5EF4-FFF2-40B4-BE49-F238E27FC236}">
                <a16:creationId xmlns:a16="http://schemas.microsoft.com/office/drawing/2014/main" xmlns="" id="{00000000-0008-0000-0B00-000007000000}"/>
              </a:ext>
            </a:extLst>
          </xdr:cNvPr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11624</xdr:colOff>
      <xdr:row>0</xdr:row>
      <xdr:rowOff>56803</xdr:rowOff>
    </xdr:from>
    <xdr:to>
      <xdr:col>10</xdr:col>
      <xdr:colOff>210965</xdr:colOff>
      <xdr:row>3</xdr:row>
      <xdr:rowOff>181557</xdr:rowOff>
    </xdr:to>
    <xdr:grpSp>
      <xdr:nvGrpSpPr>
        <xdr:cNvPr id="45" name="Agrupar 44">
          <a:extLst>
            <a:ext uri="{FF2B5EF4-FFF2-40B4-BE49-F238E27FC236}">
              <a16:creationId xmlns:a16="http://schemas.microsoft.com/office/drawing/2014/main" xmlns="" id="{00000000-0008-0000-0C00-00002D000000}"/>
            </a:ext>
          </a:extLst>
        </xdr:cNvPr>
        <xdr:cNvGrpSpPr/>
      </xdr:nvGrpSpPr>
      <xdr:grpSpPr bwMode="auto">
        <a:xfrm>
          <a:off x="11624" y="56803"/>
          <a:ext cx="8682194" cy="1054842"/>
          <a:chOff x="10581" y="67263"/>
          <a:chExt cx="8706431" cy="1008109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0C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1" y="67263"/>
            <a:ext cx="8480578" cy="100810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C00-000005000000}"/>
              </a:ext>
            </a:extLst>
          </xdr:cNvPr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C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1767515</xdr:colOff>
      <xdr:row>0</xdr:row>
      <xdr:rowOff>236514</xdr:rowOff>
    </xdr:from>
    <xdr:to>
      <xdr:col>1</xdr:col>
      <xdr:colOff>395219</xdr:colOff>
      <xdr:row>3</xdr:row>
      <xdr:rowOff>12693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767515" y="236514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94803</xdr:rowOff>
    </xdr:from>
    <xdr:to>
      <xdr:col>11</xdr:col>
      <xdr:colOff>91403</xdr:colOff>
      <xdr:row>4</xdr:row>
      <xdr:rowOff>0</xdr:rowOff>
    </xdr:to>
    <xdr:grpSp>
      <xdr:nvGrpSpPr>
        <xdr:cNvPr id="64" name="Agrupar 63">
          <a:extLst>
            <a:ext uri="{FF2B5EF4-FFF2-40B4-BE49-F238E27FC236}">
              <a16:creationId xmlns:a16="http://schemas.microsoft.com/office/drawing/2014/main" xmlns="" id="{00000000-0008-0000-0D00-000040000000}"/>
            </a:ext>
          </a:extLst>
        </xdr:cNvPr>
        <xdr:cNvGrpSpPr/>
      </xdr:nvGrpSpPr>
      <xdr:grpSpPr bwMode="auto">
        <a:xfrm>
          <a:off x="9971" y="94803"/>
          <a:ext cx="8463432" cy="980962"/>
          <a:chOff x="10582" y="137584"/>
          <a:chExt cx="8437397" cy="937788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D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7585913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D00-000005000000}"/>
              </a:ext>
            </a:extLst>
          </xdr:cNvPr>
          <xdr:cNvSpPr/>
        </xdr:nvSpPr>
        <xdr:spPr bwMode="auto">
          <a:xfrm>
            <a:off x="2298888" y="2331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D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284856</xdr:colOff>
      <xdr:row>46</xdr:row>
      <xdr:rowOff>82153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200471</xdr:colOff>
      <xdr:row>0</xdr:row>
      <xdr:rowOff>190052</xdr:rowOff>
    </xdr:from>
    <xdr:to>
      <xdr:col>2</xdr:col>
      <xdr:colOff>92402</xdr:colOff>
      <xdr:row>3</xdr:row>
      <xdr:rowOff>9527</xdr:rowOff>
    </xdr:to>
    <xdr:pic>
      <xdr:nvPicPr>
        <xdr:cNvPr id="8" name="Imagem 5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/>
      </xdr:blipFill>
      <xdr:spPr bwMode="auto">
        <a:xfrm>
          <a:off x="1559948" y="190053"/>
          <a:ext cx="645272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xmlns="" id="{00000000-0008-0000-0E00-000053000000}"/>
            </a:ext>
          </a:extLst>
        </xdr:cNvPr>
        <xdr:cNvGrpSpPr/>
      </xdr:nvGrpSpPr>
      <xdr:grpSpPr bwMode="auto">
        <a:xfrm>
          <a:off x="0" y="0"/>
          <a:ext cx="8857659" cy="996089"/>
          <a:chOff x="10582" y="137584"/>
          <a:chExt cx="8863178" cy="960576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E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E00-000005000000}"/>
              </a:ext>
            </a:extLst>
          </xdr:cNvPr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0E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>
            <a:extLst>
              <a:ext uri="{FF2B5EF4-FFF2-40B4-BE49-F238E27FC236}">
                <a16:creationId xmlns:a16="http://schemas.microsoft.com/office/drawing/2014/main" xmlns="" id="{00000000-0008-0000-0E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523874</xdr:colOff>
      <xdr:row>4</xdr:row>
      <xdr:rowOff>0</xdr:rowOff>
    </xdr:to>
    <xdr:grpSp>
      <xdr:nvGrpSpPr>
        <xdr:cNvPr id="99" name="Agrupar 98">
          <a:extLst>
            <a:ext uri="{FF2B5EF4-FFF2-40B4-BE49-F238E27FC236}">
              <a16:creationId xmlns:a16="http://schemas.microsoft.com/office/drawing/2014/main" xmlns="" id="{00000000-0008-0000-0F00-000063000000}"/>
            </a:ext>
          </a:extLst>
        </xdr:cNvPr>
        <xdr:cNvGrpSpPr/>
      </xdr:nvGrpSpPr>
      <xdr:grpSpPr bwMode="auto">
        <a:xfrm>
          <a:off x="0" y="0"/>
          <a:ext cx="7516345" cy="1042147"/>
          <a:chOff x="0" y="31750"/>
          <a:chExt cx="7992426" cy="1007640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0F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992426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0F00-000005000000}"/>
              </a:ext>
            </a:extLst>
          </xdr:cNvPr>
          <xdr:cNvSpPr/>
        </xdr:nvSpPr>
        <xdr:spPr bwMode="auto">
          <a:xfrm>
            <a:off x="2352755" y="164835"/>
            <a:ext cx="5465267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  <a:t/>
            </a: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>
            <a:extLst>
              <a:ext uri="{FF2B5EF4-FFF2-40B4-BE49-F238E27FC236}">
                <a16:creationId xmlns:a16="http://schemas.microsoft.com/office/drawing/2014/main" xmlns="" id="{00000000-0008-0000-0F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0F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253910</xdr:colOff>
      <xdr:row>49</xdr:row>
      <xdr:rowOff>109300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0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10</xdr:col>
      <xdr:colOff>22860</xdr:colOff>
      <xdr:row>3</xdr:row>
      <xdr:rowOff>122637</xdr:rowOff>
    </xdr:to>
    <xdr:grpSp>
      <xdr:nvGrpSpPr>
        <xdr:cNvPr id="47" name="Agrupar 46">
          <a:extLst>
            <a:ext uri="{FF2B5EF4-FFF2-40B4-BE49-F238E27FC236}">
              <a16:creationId xmlns:a16="http://schemas.microsoft.com/office/drawing/2014/main" xmlns="" id="{00000000-0008-0000-1000-00002F000000}"/>
            </a:ext>
          </a:extLst>
        </xdr:cNvPr>
        <xdr:cNvGrpSpPr/>
      </xdr:nvGrpSpPr>
      <xdr:grpSpPr bwMode="auto">
        <a:xfrm>
          <a:off x="0" y="28576"/>
          <a:ext cx="7710095" cy="856061"/>
          <a:chOff x="0" y="-50542"/>
          <a:chExt cx="7310134" cy="1089933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10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-50542"/>
            <a:ext cx="7310134" cy="1089933"/>
          </a:xfrm>
          <a:prstGeom prst="rect">
            <a:avLst/>
          </a:prstGeom>
          <a:noFill/>
        </xdr:spPr>
      </xdr:pic>
      <xdr:pic>
        <xdr:nvPicPr>
          <xdr:cNvPr id="5" name="Imagem 4">
            <a:extLst>
              <a:ext uri="{FF2B5EF4-FFF2-40B4-BE49-F238E27FC236}">
                <a16:creationId xmlns:a16="http://schemas.microsoft.com/office/drawing/2014/main" xmlns="" id="{00000000-0008-0000-1000-00000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432460" y="76150"/>
            <a:ext cx="605114" cy="760744"/>
          </a:xfrm>
          <a:prstGeom prst="rect">
            <a:avLst/>
          </a:prstGeom>
          <a:noFill/>
        </xdr:spPr>
      </xdr:pic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1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-25571"/>
            <a:ext cx="1359207" cy="997815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1247431</xdr:colOff>
      <xdr:row>48</xdr:row>
      <xdr:rowOff>116443</xdr:rowOff>
    </xdr:to>
    <xdr:sp macro="" textlink="">
      <xdr:nvSpPr>
        <xdr:cNvPr id="7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000-000007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2</xdr:col>
      <xdr:colOff>171450</xdr:colOff>
      <xdr:row>0</xdr:row>
      <xdr:rowOff>57151</xdr:rowOff>
    </xdr:from>
    <xdr:to>
      <xdr:col>9</xdr:col>
      <xdr:colOff>533400</xdr:colOff>
      <xdr:row>3</xdr:row>
      <xdr:rowOff>114301</xdr:rowOff>
    </xdr:to>
    <xdr:sp macro="" textlink="">
      <xdr:nvSpPr>
        <xdr:cNvPr id="8" name="Text 4">
          <a:extLst>
            <a:ext uri="{FF2B5EF4-FFF2-40B4-BE49-F238E27FC236}">
              <a16:creationId xmlns:a16="http://schemas.microsoft.com/office/drawing/2014/main" xmlns="" id="{00000000-0008-0000-1000-000008000000}"/>
            </a:ext>
          </a:extLst>
        </xdr:cNvPr>
        <xdr:cNvSpPr/>
      </xdr:nvSpPr>
      <xdr:spPr bwMode="auto">
        <a:xfrm>
          <a:off x="2486025" y="57151"/>
          <a:ext cx="5400675" cy="80010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Arroz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de sequeiro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685985</xdr:colOff>
      <xdr:row>3</xdr:row>
      <xdr:rowOff>181094</xdr:rowOff>
    </xdr:to>
    <xdr:grpSp>
      <xdr:nvGrpSpPr>
        <xdr:cNvPr id="83" name="Agrupar 82">
          <a:extLst>
            <a:ext uri="{FF2B5EF4-FFF2-40B4-BE49-F238E27FC236}">
              <a16:creationId xmlns:a16="http://schemas.microsoft.com/office/drawing/2014/main" xmlns="" id="{00000000-0008-0000-1100-000053000000}"/>
            </a:ext>
          </a:extLst>
        </xdr:cNvPr>
        <xdr:cNvGrpSpPr/>
      </xdr:nvGrpSpPr>
      <xdr:grpSpPr bwMode="auto">
        <a:xfrm>
          <a:off x="0" y="0"/>
          <a:ext cx="8507691" cy="999123"/>
          <a:chOff x="0" y="52917"/>
          <a:chExt cx="8315933" cy="986473"/>
        </a:xfrm>
      </xdr:grpSpPr>
      <xdr:pic>
        <xdr:nvPicPr>
          <xdr:cNvPr id="4" name="Imagem 2">
            <a:extLst>
              <a:ext uri="{FF2B5EF4-FFF2-40B4-BE49-F238E27FC236}">
                <a16:creationId xmlns:a16="http://schemas.microsoft.com/office/drawing/2014/main" xmlns="" id="{00000000-0008-0000-11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1100-000005000000}"/>
              </a:ext>
            </a:extLst>
          </xdr:cNvPr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>
            <a:extLst>
              <a:ext uri="{FF2B5EF4-FFF2-40B4-BE49-F238E27FC236}">
                <a16:creationId xmlns:a16="http://schemas.microsoft.com/office/drawing/2014/main" xmlns="" id="{00000000-0008-0000-11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>
            <a:extLst>
              <a:ext uri="{FF2B5EF4-FFF2-40B4-BE49-F238E27FC236}">
                <a16:creationId xmlns:a16="http://schemas.microsoft.com/office/drawing/2014/main" xmlns="" id="{00000000-0008-0000-11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68563</xdr:colOff>
      <xdr:row>48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2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167811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22561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>
          <a:extLst>
            <a:ext uri="{FF2B5EF4-FFF2-40B4-BE49-F238E27FC236}">
              <a16:creationId xmlns:a16="http://schemas.microsoft.com/office/drawing/2014/main" xmlns="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10</xdr:col>
      <xdr:colOff>599697</xdr:colOff>
      <xdr:row>3</xdr:row>
      <xdr:rowOff>114597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3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xmlns="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3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9813</xdr:colOff>
      <xdr:row>0</xdr:row>
      <xdr:rowOff>114521</xdr:rowOff>
    </xdr:from>
    <xdr:to>
      <xdr:col>9</xdr:col>
      <xdr:colOff>790575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13" y="114521"/>
          <a:ext cx="8143587" cy="97132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63975</xdr:colOff>
      <xdr:row>0</xdr:row>
      <xdr:rowOff>200917</xdr:rowOff>
    </xdr:from>
    <xdr:to>
      <xdr:col>10</xdr:col>
      <xdr:colOff>9525</xdr:colOff>
      <xdr:row>3</xdr:row>
      <xdr:rowOff>95250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/>
      </xdr:nvSpPr>
      <xdr:spPr bwMode="auto">
        <a:xfrm>
          <a:off x="2159475" y="200917"/>
          <a:ext cx="6012975" cy="789683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1</xdr:col>
      <xdr:colOff>371475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" y="114522"/>
          <a:ext cx="1714498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229043</xdr:rowOff>
    </xdr:from>
    <xdr:to>
      <xdr:col>1</xdr:col>
      <xdr:colOff>730456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38100</xdr:colOff>
      <xdr:row>45</xdr:row>
      <xdr:rowOff>114300</xdr:rowOff>
    </xdr:from>
    <xdr:to>
      <xdr:col>1</xdr:col>
      <xdr:colOff>249552</xdr:colOff>
      <xdr:row>49</xdr:row>
      <xdr:rowOff>114299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/>
      </xdr:nvSpPr>
      <xdr:spPr bwMode="auto">
        <a:xfrm>
          <a:off x="38100" y="5410200"/>
          <a:ext cx="1554480" cy="56388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30080</xdr:colOff>
      <xdr:row>3</xdr:row>
      <xdr:rowOff>133885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5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5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104365</xdr:rowOff>
    </xdr:from>
    <xdr:to>
      <xdr:col>10</xdr:col>
      <xdr:colOff>2080</xdr:colOff>
      <xdr:row>4</xdr:row>
      <xdr:rowOff>9673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04365"/>
          <a:ext cx="8237220" cy="95686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495411</xdr:colOff>
      <xdr:row>0</xdr:row>
      <xdr:rowOff>180379</xdr:rowOff>
    </xdr:from>
    <xdr:to>
      <xdr:col>11</xdr:col>
      <xdr:colOff>521168</xdr:colOff>
      <xdr:row>3</xdr:row>
      <xdr:rowOff>85872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600-000005000000}"/>
            </a:ext>
          </a:extLst>
        </xdr:cNvPr>
        <xdr:cNvSpPr/>
      </xdr:nvSpPr>
      <xdr:spPr bwMode="auto">
        <a:xfrm>
          <a:off x="2638536" y="180379"/>
          <a:ext cx="6622885" cy="7722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321702</xdr:colOff>
      <xdr:row>0</xdr:row>
      <xdr:rowOff>189755</xdr:rowOff>
    </xdr:from>
    <xdr:to>
      <xdr:col>2</xdr:col>
      <xdr:colOff>245743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4263" y="189755"/>
          <a:ext cx="701280" cy="68097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85727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>
          <a:extLst>
            <a:ext uri="{FF2B5EF4-FFF2-40B4-BE49-F238E27FC236}">
              <a16:creationId xmlns:a16="http://schemas.microsoft.com/office/drawing/2014/main" xmlns="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11</xdr:col>
      <xdr:colOff>9566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7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>
          <a:extLst>
            <a:ext uri="{FF2B5EF4-FFF2-40B4-BE49-F238E27FC236}">
              <a16:creationId xmlns:a16="http://schemas.microsoft.com/office/drawing/2014/main" xmlns="" id="{00000000-0008-0000-1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7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8985" y="57150"/>
          <a:ext cx="8627015" cy="9715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10</xdr:col>
      <xdr:colOff>410876</xdr:colOff>
      <xdr:row>3</xdr:row>
      <xdr:rowOff>127336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266700</xdr:colOff>
      <xdr:row>0</xdr:row>
      <xdr:rowOff>177800</xdr:rowOff>
    </xdr:from>
    <xdr:to>
      <xdr:col>1</xdr:col>
      <xdr:colOff>608762</xdr:colOff>
      <xdr:row>4</xdr:row>
      <xdr:rowOff>57486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6700" y="177800"/>
          <a:ext cx="1707312" cy="908386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1272670</xdr:colOff>
      <xdr:row>51</xdr:row>
      <xdr:rowOff>91440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522961</xdr:colOff>
      <xdr:row>3</xdr:row>
      <xdr:rowOff>152459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9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9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9441</xdr:colOff>
      <xdr:row>0</xdr:row>
      <xdr:rowOff>0</xdr:rowOff>
    </xdr:from>
    <xdr:to>
      <xdr:col>10</xdr:col>
      <xdr:colOff>7443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10</xdr:col>
      <xdr:colOff>427831</xdr:colOff>
      <xdr:row>3</xdr:row>
      <xdr:rowOff>104923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A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756791" y="114076"/>
          <a:ext cx="718000" cy="67997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A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557480</xdr:colOff>
      <xdr:row>3</xdr:row>
      <xdr:rowOff>37951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10</xdr:col>
      <xdr:colOff>644183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167931</xdr:colOff>
      <xdr:row>3</xdr:row>
      <xdr:rowOff>135254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20716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1389526</xdr:colOff>
      <xdr:row>48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9263</xdr:colOff>
      <xdr:row>0</xdr:row>
      <xdr:rowOff>94653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263" y="94653"/>
          <a:ext cx="8002943" cy="96241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665388</xdr:colOff>
      <xdr:row>0</xdr:row>
      <xdr:rowOff>130589</xdr:rowOff>
    </xdr:from>
    <xdr:to>
      <xdr:col>10</xdr:col>
      <xdr:colOff>67234</xdr:colOff>
      <xdr:row>4</xdr:row>
      <xdr:rowOff>19050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E00-000005000000}"/>
            </a:ext>
          </a:extLst>
        </xdr:cNvPr>
        <xdr:cNvSpPr/>
      </xdr:nvSpPr>
      <xdr:spPr bwMode="auto">
        <a:xfrm>
          <a:off x="2223006" y="130589"/>
          <a:ext cx="5856434" cy="96422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45939</xdr:colOff>
      <xdr:row>0</xdr:row>
      <xdr:rowOff>218888</xdr:rowOff>
    </xdr:from>
    <xdr:to>
      <xdr:col>1</xdr:col>
      <xdr:colOff>747915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84239" y="218888"/>
          <a:ext cx="701976" cy="699619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1249170</xdr:colOff>
      <xdr:row>49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9152</xdr:colOff>
      <xdr:row>0</xdr:row>
      <xdr:rowOff>38472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152" y="38472"/>
          <a:ext cx="8814808" cy="997848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9471</xdr:colOff>
      <xdr:row>0</xdr:row>
      <xdr:rowOff>144519</xdr:rowOff>
    </xdr:from>
    <xdr:to>
      <xdr:col>9</xdr:col>
      <xdr:colOff>388620</xdr:colOff>
      <xdr:row>3</xdr:row>
      <xdr:rowOff>106913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1F00-000005000000}"/>
            </a:ext>
          </a:extLst>
        </xdr:cNvPr>
        <xdr:cNvSpPr/>
      </xdr:nvSpPr>
      <xdr:spPr bwMode="auto">
        <a:xfrm>
          <a:off x="2729811" y="144519"/>
          <a:ext cx="6033189" cy="80059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196495</xdr:colOff>
      <xdr:row>0</xdr:row>
      <xdr:rowOff>162631</xdr:rowOff>
    </xdr:from>
    <xdr:to>
      <xdr:col>2</xdr:col>
      <xdr:colOff>2294</xdr:colOff>
      <xdr:row>3</xdr:row>
      <xdr:rowOff>19347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1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811936" y="162631"/>
          <a:ext cx="701149" cy="69491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1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765" y="85388"/>
          <a:ext cx="8669415" cy="989031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235944</xdr:colOff>
      <xdr:row>0</xdr:row>
      <xdr:rowOff>199243</xdr:rowOff>
    </xdr:from>
    <xdr:to>
      <xdr:col>9</xdr:col>
      <xdr:colOff>502920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000-000005000000}"/>
            </a:ext>
          </a:extLst>
        </xdr:cNvPr>
        <xdr:cNvSpPr/>
      </xdr:nvSpPr>
      <xdr:spPr bwMode="auto">
        <a:xfrm>
          <a:off x="2628624" y="199243"/>
          <a:ext cx="5951496" cy="79159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55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218699</xdr:colOff>
      <xdr:row>0</xdr:row>
      <xdr:rowOff>189755</xdr:rowOff>
    </xdr:from>
    <xdr:to>
      <xdr:col>2</xdr:col>
      <xdr:colOff>76805</xdr:colOff>
      <xdr:row>3</xdr:row>
      <xdr:rowOff>9286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696979" y="189755"/>
          <a:ext cx="711547" cy="695831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9376</xdr:colOff>
      <xdr:row>0</xdr:row>
      <xdr:rowOff>0</xdr:rowOff>
    </xdr:from>
    <xdr:to>
      <xdr:col>10</xdr:col>
      <xdr:colOff>7620</xdr:colOff>
      <xdr:row>3</xdr:row>
      <xdr:rowOff>199727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376" y="0"/>
          <a:ext cx="8646944" cy="98458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118591</xdr:colOff>
      <xdr:row>0</xdr:row>
      <xdr:rowOff>76273</xdr:rowOff>
    </xdr:from>
    <xdr:to>
      <xdr:col>10</xdr:col>
      <xdr:colOff>0</xdr:colOff>
      <xdr:row>3</xdr:row>
      <xdr:rowOff>76125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100-000005000000}"/>
            </a:ext>
          </a:extLst>
        </xdr:cNvPr>
        <xdr:cNvSpPr/>
      </xdr:nvSpPr>
      <xdr:spPr bwMode="auto">
        <a:xfrm>
          <a:off x="2261716" y="76273"/>
          <a:ext cx="6120284" cy="77137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157367</xdr:colOff>
      <xdr:row>0</xdr:row>
      <xdr:rowOff>105258</xdr:rowOff>
    </xdr:from>
    <xdr:to>
      <xdr:col>2</xdr:col>
      <xdr:colOff>64328</xdr:colOff>
      <xdr:row>3</xdr:row>
      <xdr:rowOff>18826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567067" y="105258"/>
          <a:ext cx="714681" cy="69842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1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56924</xdr:rowOff>
    </xdr:from>
    <xdr:to>
      <xdr:col>11</xdr:col>
      <xdr:colOff>473765</xdr:colOff>
      <xdr:row>3</xdr:row>
      <xdr:rowOff>257175</xdr:rowOff>
    </xdr:to>
    <xdr:grpSp>
      <xdr:nvGrpSpPr>
        <xdr:cNvPr id="81314944" name="Agrupar 81314943">
          <a:extLst>
            <a:ext uri="{FF2B5EF4-FFF2-40B4-BE49-F238E27FC236}">
              <a16:creationId xmlns:a16="http://schemas.microsoft.com/office/drawing/2014/main" xmlns="" id="{00000000-0008-0000-2200-000080C4D804}"/>
            </a:ext>
          </a:extLst>
        </xdr:cNvPr>
        <xdr:cNvGrpSpPr/>
      </xdr:nvGrpSpPr>
      <xdr:grpSpPr bwMode="auto">
        <a:xfrm>
          <a:off x="0" y="56924"/>
          <a:ext cx="8586824" cy="1029486"/>
          <a:chOff x="10582" y="137584"/>
          <a:chExt cx="8566845" cy="1024811"/>
        </a:xfrm>
      </xdr:grpSpPr>
      <xdr:pic>
        <xdr:nvPicPr>
          <xdr:cNvPr id="4" name="Imagem 1">
            <a:extLst>
              <a:ext uri="{FF2B5EF4-FFF2-40B4-BE49-F238E27FC236}">
                <a16:creationId xmlns:a16="http://schemas.microsoft.com/office/drawing/2014/main" xmlns="" id="{00000000-0008-0000-2200-00000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 macro="" textlink="">
        <xdr:nvSpPr>
          <xdr:cNvPr id="5" name="Text 4">
            <a:extLst>
              <a:ext uri="{FF2B5EF4-FFF2-40B4-BE49-F238E27FC236}">
                <a16:creationId xmlns:a16="http://schemas.microsoft.com/office/drawing/2014/main" xmlns="" id="{00000000-0008-0000-2200-000005000000}"/>
              </a:ext>
            </a:extLst>
          </xdr:cNvPr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4/25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e 202</a:t>
            </a:r>
            <a:r>
              <a:rPr lang="pt-BR"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5/26</a:t>
            </a: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/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>
            <a:extLst>
              <a:ext uri="{FF2B5EF4-FFF2-40B4-BE49-F238E27FC236}">
                <a16:creationId xmlns:a16="http://schemas.microsoft.com/office/drawing/2014/main" xmlns="" id="{00000000-0008-0000-22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>
            <a:extLst>
              <a:ext uri="{FF2B5EF4-FFF2-40B4-BE49-F238E27FC236}">
                <a16:creationId xmlns:a16="http://schemas.microsoft.com/office/drawing/2014/main" xmlns="" id="{00000000-0008-0000-2200-000007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155962</xdr:colOff>
      <xdr:row>50</xdr:row>
      <xdr:rowOff>122872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2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57298</xdr:rowOff>
    </xdr:from>
    <xdr:to>
      <xdr:col>9</xdr:col>
      <xdr:colOff>455706</xdr:colOff>
      <xdr:row>3</xdr:row>
      <xdr:rowOff>244136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458750</xdr:colOff>
      <xdr:row>3</xdr:row>
      <xdr:rowOff>216869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300-000005000000}"/>
            </a:ext>
          </a:extLst>
        </xdr:cNvPr>
        <xdr:cNvSpPr/>
      </xdr:nvSpPr>
      <xdr:spPr bwMode="auto">
        <a:xfrm>
          <a:off x="2370887" y="123713"/>
          <a:ext cx="5512994" cy="807531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216869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98613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160020</xdr:rowOff>
    </xdr:from>
    <xdr:to>
      <xdr:col>1</xdr:col>
      <xdr:colOff>277596</xdr:colOff>
      <xdr:row>47</xdr:row>
      <xdr:rowOff>85725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300-000008000000}"/>
            </a:ext>
          </a:extLst>
        </xdr:cNvPr>
        <xdr:cNvSpPr/>
      </xdr:nvSpPr>
      <xdr:spPr bwMode="auto">
        <a:xfrm>
          <a:off x="60960" y="4533900"/>
          <a:ext cx="1525371" cy="42672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394872</xdr:colOff>
      <xdr:row>3</xdr:row>
      <xdr:rowOff>130074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4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141267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15537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4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144262</xdr:colOff>
      <xdr:row>50</xdr:row>
      <xdr:rowOff>132634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4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168067</xdr:colOff>
      <xdr:row>0</xdr:row>
      <xdr:rowOff>133274</xdr:rowOff>
    </xdr:from>
    <xdr:to>
      <xdr:col>9</xdr:col>
      <xdr:colOff>247649</xdr:colOff>
      <xdr:row>3</xdr:row>
      <xdr:rowOff>95486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500-000005000000}"/>
            </a:ext>
          </a:extLst>
        </xdr:cNvPr>
        <xdr:cNvSpPr/>
      </xdr:nvSpPr>
      <xdr:spPr bwMode="auto">
        <a:xfrm>
          <a:off x="2385487" y="133274"/>
          <a:ext cx="4990673" cy="821367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5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15779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68580</xdr:colOff>
      <xdr:row>45</xdr:row>
      <xdr:rowOff>22860</xdr:rowOff>
    </xdr:from>
    <xdr:to>
      <xdr:col>0</xdr:col>
      <xdr:colOff>1314181</xdr:colOff>
      <xdr:row>47</xdr:row>
      <xdr:rowOff>114300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500-000008000000}"/>
            </a:ext>
          </a:extLst>
        </xdr:cNvPr>
        <xdr:cNvSpPr/>
      </xdr:nvSpPr>
      <xdr:spPr bwMode="auto">
        <a:xfrm>
          <a:off x="68580" y="7833360"/>
          <a:ext cx="1249412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9822</xdr:rowOff>
    </xdr:from>
    <xdr:to>
      <xdr:col>10</xdr:col>
      <xdr:colOff>38099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9822"/>
          <a:ext cx="7648574" cy="9620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553711</xdr:colOff>
      <xdr:row>3</xdr:row>
      <xdr:rowOff>76615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6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26170</xdr:colOff>
      <xdr:row>0</xdr:row>
      <xdr:rowOff>30480</xdr:rowOff>
    </xdr:from>
    <xdr:to>
      <xdr:col>1</xdr:col>
      <xdr:colOff>297803</xdr:colOff>
      <xdr:row>3</xdr:row>
      <xdr:rowOff>125669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26169" y="30480"/>
          <a:ext cx="1673713" cy="91052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60712</xdr:colOff>
      <xdr:row>0</xdr:row>
      <xdr:rowOff>114300</xdr:rowOff>
    </xdr:from>
    <xdr:to>
      <xdr:col>2</xdr:col>
      <xdr:colOff>41123</xdr:colOff>
      <xdr:row>3</xdr:row>
      <xdr:rowOff>59173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98986" y="114300"/>
          <a:ext cx="732886" cy="752593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1332</xdr:colOff>
      <xdr:row>49</xdr:row>
      <xdr:rowOff>97869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6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167996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637318" cy="959784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251115</xdr:colOff>
      <xdr:row>0</xdr:row>
      <xdr:rowOff>76795</xdr:rowOff>
    </xdr:from>
    <xdr:to>
      <xdr:col>9</xdr:col>
      <xdr:colOff>526301</xdr:colOff>
      <xdr:row>3</xdr:row>
      <xdr:rowOff>133697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700-000005000000}"/>
            </a:ext>
          </a:extLst>
        </xdr:cNvPr>
        <xdr:cNvSpPr/>
      </xdr:nvSpPr>
      <xdr:spPr bwMode="auto">
        <a:xfrm>
          <a:off x="2277342" y="76795"/>
          <a:ext cx="5204114" cy="84106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303691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132563</xdr:colOff>
      <xdr:row>3</xdr:row>
      <xdr:rowOff>53456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44</xdr:row>
      <xdr:rowOff>243840</xdr:rowOff>
    </xdr:from>
    <xdr:to>
      <xdr:col>1</xdr:col>
      <xdr:colOff>12029</xdr:colOff>
      <xdr:row>46</xdr:row>
      <xdr:rowOff>145389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700-000008000000}"/>
            </a:ext>
          </a:extLst>
        </xdr:cNvPr>
        <xdr:cNvSpPr/>
      </xdr:nvSpPr>
      <xdr:spPr bwMode="auto">
        <a:xfrm>
          <a:off x="60960" y="4373880"/>
          <a:ext cx="1351244" cy="41399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8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114535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8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27829</xdr:rowOff>
    </xdr:from>
    <xdr:to>
      <xdr:col>10</xdr:col>
      <xdr:colOff>2815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94137</xdr:colOff>
      <xdr:row>3</xdr:row>
      <xdr:rowOff>130074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2815</xdr:colOff>
      <xdr:row>3</xdr:row>
      <xdr:rowOff>76615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2900-000006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706500</xdr:colOff>
      <xdr:row>3</xdr:row>
      <xdr:rowOff>37921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106680</xdr:colOff>
      <xdr:row>45</xdr:row>
      <xdr:rowOff>53340</xdr:rowOff>
    </xdr:from>
    <xdr:to>
      <xdr:col>0</xdr:col>
      <xdr:colOff>1447800</xdr:colOff>
      <xdr:row>47</xdr:row>
      <xdr:rowOff>131445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900-000008000000}"/>
            </a:ext>
          </a:extLst>
        </xdr:cNvPr>
        <xdr:cNvSpPr/>
      </xdr:nvSpPr>
      <xdr:spPr bwMode="auto">
        <a:xfrm>
          <a:off x="106680" y="8206740"/>
          <a:ext cx="1341120" cy="594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29021</xdr:rowOff>
    </xdr:from>
    <xdr:to>
      <xdr:col>10</xdr:col>
      <xdr:colOff>2116</xdr:colOff>
      <xdr:row>4</xdr:row>
      <xdr:rowOff>654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29021"/>
          <a:ext cx="7545916" cy="94530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96407</xdr:rowOff>
    </xdr:from>
    <xdr:to>
      <xdr:col>9</xdr:col>
      <xdr:colOff>408882</xdr:colOff>
      <xdr:row>3</xdr:row>
      <xdr:rowOff>161587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A00-000005000000}"/>
            </a:ext>
          </a:extLst>
        </xdr:cNvPr>
        <xdr:cNvSpPr/>
      </xdr:nvSpPr>
      <xdr:spPr bwMode="auto">
        <a:xfrm>
          <a:off x="2283021" y="96407"/>
          <a:ext cx="5253159" cy="82718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4/25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5/26</a:t>
          </a:r>
          <a:endParaRPr/>
        </a:p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127000</xdr:colOff>
      <xdr:row>0</xdr:row>
      <xdr:rowOff>222250</xdr:rowOff>
    </xdr:from>
    <xdr:to>
      <xdr:col>1</xdr:col>
      <xdr:colOff>469062</xdr:colOff>
      <xdr:row>4</xdr:row>
      <xdr:rowOff>177858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27000" y="222250"/>
          <a:ext cx="1700962" cy="914459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200204</xdr:colOff>
      <xdr:row>0</xdr:row>
      <xdr:rowOff>114634</xdr:rowOff>
    </xdr:from>
    <xdr:to>
      <xdr:col>2</xdr:col>
      <xdr:colOff>92462</xdr:colOff>
      <xdr:row>3</xdr:row>
      <xdr:rowOff>28633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1478142" y="114634"/>
          <a:ext cx="646320" cy="668062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60960</xdr:colOff>
      <xdr:row>45</xdr:row>
      <xdr:rowOff>91440</xdr:rowOff>
    </xdr:from>
    <xdr:to>
      <xdr:col>1</xdr:col>
      <xdr:colOff>168702</xdr:colOff>
      <xdr:row>46</xdr:row>
      <xdr:rowOff>207883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A00-000008000000}"/>
            </a:ext>
          </a:extLst>
        </xdr:cNvPr>
        <xdr:cNvSpPr/>
      </xdr:nvSpPr>
      <xdr:spPr bwMode="auto">
        <a:xfrm>
          <a:off x="60960" y="6614160"/>
          <a:ext cx="1418382" cy="36790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B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xmlns="" id="{00000000-0008-0000-2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B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242455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7283430" cy="1021773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15688</xdr:colOff>
      <xdr:row>3</xdr:row>
      <xdr:rowOff>76051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C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C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10</xdr:col>
      <xdr:colOff>722443</xdr:colOff>
      <xdr:row>3</xdr:row>
      <xdr:rowOff>105251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D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D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329790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E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E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E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37503</xdr:rowOff>
    </xdr:from>
    <xdr:to>
      <xdr:col>10</xdr:col>
      <xdr:colOff>4369</xdr:colOff>
      <xdr:row>3</xdr:row>
      <xdr:rowOff>210512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2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37503"/>
          <a:ext cx="7283886" cy="1018905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446819</xdr:colOff>
      <xdr:row>3</xdr:row>
      <xdr:rowOff>77557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2F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342890</xdr:colOff>
      <xdr:row>3</xdr:row>
      <xdr:rowOff>115957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2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154720</xdr:colOff>
      <xdr:row>3</xdr:row>
      <xdr:rowOff>40053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2F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178554</xdr:colOff>
      <xdr:row>50</xdr:row>
      <xdr:rowOff>37951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2F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>
          <a:extLst>
            <a:ext uri="{FF2B5EF4-FFF2-40B4-BE49-F238E27FC236}">
              <a16:creationId xmlns:a16="http://schemas.microsoft.com/office/drawing/2014/main" xmlns="" id="{00000000-0008-0000-3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10</xdr:col>
      <xdr:colOff>595703</xdr:colOff>
      <xdr:row>3</xdr:row>
      <xdr:rowOff>114535</xdr:rowOff>
    </xdr:to>
    <xdr:sp macro="" textlink="">
      <xdr:nvSpPr>
        <xdr:cNvPr id="5" name="Text 4">
          <a:extLst>
            <a:ext uri="{FF2B5EF4-FFF2-40B4-BE49-F238E27FC236}">
              <a16:creationId xmlns:a16="http://schemas.microsoft.com/office/drawing/2014/main" xmlns="" id="{00000000-0008-0000-3000-0000050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e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>
          <a:extLst>
            <a:ext uri="{FF2B5EF4-FFF2-40B4-BE49-F238E27FC236}">
              <a16:creationId xmlns:a16="http://schemas.microsoft.com/office/drawing/2014/main" xmlns="" id="{00000000-0008-0000-3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>
          <a:extLst>
            <a:ext uri="{FF2B5EF4-FFF2-40B4-BE49-F238E27FC236}">
              <a16:creationId xmlns:a16="http://schemas.microsoft.com/office/drawing/2014/main" xmlns="" id="{00000000-0008-0000-3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 macro="" textlink="">
      <xdr:nvSpPr>
        <xdr:cNvPr id="8" name="Retângulo de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00000000-0008-0000-3000-000008000000}"/>
            </a:ext>
          </a:extLst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9523</xdr:colOff>
      <xdr:row>0</xdr:row>
      <xdr:rowOff>28649</xdr:rowOff>
    </xdr:from>
    <xdr:to>
      <xdr:col>11</xdr:col>
      <xdr:colOff>22410</xdr:colOff>
      <xdr:row>3</xdr:row>
      <xdr:rowOff>9525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522" y="28649"/>
          <a:ext cx="8809506" cy="9333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2</xdr:col>
      <xdr:colOff>1521</xdr:colOff>
      <xdr:row>2</xdr:row>
      <xdr:rowOff>238422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85725" y="0"/>
          <a:ext cx="1638300" cy="933747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8</xdr:col>
      <xdr:colOff>417249</xdr:colOff>
      <xdr:row>2</xdr:row>
      <xdr:rowOff>209401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100-000006000000}"/>
            </a:ext>
          </a:extLst>
        </xdr:cNvPr>
        <xdr:cNvSpPr/>
      </xdr:nvSpPr>
      <xdr:spPr bwMode="auto">
        <a:xfrm>
          <a:off x="2162175" y="96180"/>
          <a:ext cx="4634023" cy="80854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238125</xdr:colOff>
      <xdr:row>56</xdr:row>
      <xdr:rowOff>38174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100-000007000000}"/>
            </a:ext>
          </a:extLst>
        </xdr:cNvPr>
        <xdr:cNvSpPr/>
      </xdr:nvSpPr>
      <xdr:spPr bwMode="auto">
        <a:xfrm>
          <a:off x="0" y="9944100"/>
          <a:ext cx="1457325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9449</xdr:colOff>
      <xdr:row>0</xdr:row>
      <xdr:rowOff>28649</xdr:rowOff>
    </xdr:from>
    <xdr:to>
      <xdr:col>7</xdr:col>
      <xdr:colOff>22410</xdr:colOff>
      <xdr:row>3</xdr:row>
      <xdr:rowOff>175004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449" y="28649"/>
          <a:ext cx="8462197" cy="1009208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0" y="0"/>
          <a:ext cx="1401048" cy="762476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1481843</xdr:colOff>
      <xdr:row>0</xdr:row>
      <xdr:rowOff>47066</xdr:rowOff>
    </xdr:from>
    <xdr:to>
      <xdr:col>2</xdr:col>
      <xdr:colOff>711606</xdr:colOff>
      <xdr:row>3</xdr:row>
      <xdr:rowOff>104923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200-000006000000}"/>
            </a:ext>
          </a:extLst>
        </xdr:cNvPr>
        <xdr:cNvSpPr/>
      </xdr:nvSpPr>
      <xdr:spPr bwMode="auto">
        <a:xfrm>
          <a:off x="1481843" y="47066"/>
          <a:ext cx="3145660" cy="924632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 macro="" textlink="">
      <xdr:nvSpPr>
        <xdr:cNvPr id="7" name="Retângulo de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7000000}"/>
            </a:ext>
          </a:extLst>
        </xdr:cNvPr>
        <xdr:cNvSpPr/>
      </xdr:nvSpPr>
      <xdr:spPr bwMode="auto">
        <a:xfrm>
          <a:off x="0" y="9620250"/>
          <a:ext cx="12333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1714500</xdr:colOff>
      <xdr:row>35</xdr:row>
      <xdr:rowOff>38174</xdr:rowOff>
    </xdr:to>
    <xdr:sp macro="" textlink="">
      <xdr:nvSpPr>
        <xdr:cNvPr id="8" name="Retângulo de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200-000008000000}"/>
            </a:ext>
          </a:extLst>
        </xdr:cNvPr>
        <xdr:cNvSpPr/>
      </xdr:nvSpPr>
      <xdr:spPr bwMode="auto">
        <a:xfrm>
          <a:off x="0" y="6905625"/>
          <a:ext cx="1714500" cy="40012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1333" cy="827157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Acre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Alagoas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95250</xdr:colOff>
      <xdr:row>53</xdr:row>
      <xdr:rowOff>0</xdr:rowOff>
    </xdr:from>
    <xdr:to>
      <xdr:col>0</xdr:col>
      <xdr:colOff>1556946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400-000007000000}"/>
            </a:ext>
          </a:extLst>
        </xdr:cNvPr>
        <xdr:cNvSpPr/>
      </xdr:nvSpPr>
      <xdr:spPr bwMode="auto">
        <a:xfrm>
          <a:off x="9525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Amazonas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105834</xdr:colOff>
      <xdr:row>53</xdr:row>
      <xdr:rowOff>10584</xdr:rowOff>
    </xdr:from>
    <xdr:to>
      <xdr:col>0</xdr:col>
      <xdr:colOff>1567530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500-000007000000}"/>
            </a:ext>
          </a:extLst>
        </xdr:cNvPr>
        <xdr:cNvSpPr/>
      </xdr:nvSpPr>
      <xdr:spPr bwMode="auto">
        <a:xfrm>
          <a:off x="105834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Amapá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190500</xdr:colOff>
      <xdr:row>53</xdr:row>
      <xdr:rowOff>10583</xdr:rowOff>
    </xdr:from>
    <xdr:to>
      <xdr:col>0</xdr:col>
      <xdr:colOff>1652196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600-000007000000}"/>
            </a:ext>
          </a:extLst>
        </xdr:cNvPr>
        <xdr:cNvSpPr/>
      </xdr:nvSpPr>
      <xdr:spPr bwMode="auto">
        <a:xfrm>
          <a:off x="190500" y="10932583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Bahia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137583</xdr:colOff>
      <xdr:row>53</xdr:row>
      <xdr:rowOff>0</xdr:rowOff>
    </xdr:from>
    <xdr:to>
      <xdr:col>0</xdr:col>
      <xdr:colOff>1599278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700-000007000000}"/>
            </a:ext>
          </a:extLst>
        </xdr:cNvPr>
        <xdr:cNvSpPr/>
      </xdr:nvSpPr>
      <xdr:spPr bwMode="auto">
        <a:xfrm>
          <a:off x="137583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211666</xdr:colOff>
      <xdr:row>53</xdr:row>
      <xdr:rowOff>10584</xdr:rowOff>
    </xdr:from>
    <xdr:to>
      <xdr:col>0</xdr:col>
      <xdr:colOff>1673362</xdr:colOff>
      <xdr:row>61</xdr:row>
      <xdr:rowOff>166158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800-000007000000}"/>
            </a:ext>
          </a:extLst>
        </xdr:cNvPr>
        <xdr:cNvSpPr/>
      </xdr:nvSpPr>
      <xdr:spPr bwMode="auto">
        <a:xfrm>
          <a:off x="211666" y="10932584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Distrito Federal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Espírito Santo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Goiás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Maranhão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Minas Gerais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E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E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3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3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3F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Mato Grosso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3F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0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0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1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Paraíba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1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2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Pernambuco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2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3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Piauí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3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4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Paraná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4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5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de Janeiro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5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6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Norte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6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7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Rondônia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7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8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Roraima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8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9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Rio Grande do Sul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9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A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Santa Catarina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A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B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Sergipe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B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C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São Paulo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C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>
          <a:extLst>
            <a:ext uri="{FF2B5EF4-FFF2-40B4-BE49-F238E27FC236}">
              <a16:creationId xmlns:a16="http://schemas.microsoft.com/office/drawing/2014/main" xmlns="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0" y="19510"/>
          <a:ext cx="8553450" cy="81869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>
          <a:extLst>
            <a:ext uri="{FF2B5EF4-FFF2-40B4-BE49-F238E27FC236}">
              <a16:creationId xmlns:a16="http://schemas.microsoft.com/office/drawing/2014/main" xmlns="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/>
      </xdr:blipFill>
      <xdr:spPr bwMode="auto">
        <a:xfrm>
          <a:off x="102096" y="0"/>
          <a:ext cx="2079519" cy="84753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105165</xdr:colOff>
      <xdr:row>0</xdr:row>
      <xdr:rowOff>28841</xdr:rowOff>
    </xdr:from>
    <xdr:to>
      <xdr:col>9</xdr:col>
      <xdr:colOff>467616</xdr:colOff>
      <xdr:row>3</xdr:row>
      <xdr:rowOff>181540</xdr:rowOff>
    </xdr:to>
    <xdr:sp macro="" textlink="">
      <xdr:nvSpPr>
        <xdr:cNvPr id="6" name="Text 4">
          <a:extLst>
            <a:ext uri="{FF2B5EF4-FFF2-40B4-BE49-F238E27FC236}">
              <a16:creationId xmlns:a16="http://schemas.microsoft.com/office/drawing/2014/main" xmlns="" id="{00000000-0008-0000-4D00-000006000000}"/>
            </a:ext>
          </a:extLst>
        </xdr:cNvPr>
        <xdr:cNvSpPr/>
      </xdr:nvSpPr>
      <xdr:spPr bwMode="auto">
        <a:xfrm>
          <a:off x="2276865" y="28841"/>
          <a:ext cx="6077451" cy="781349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Tocantins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– Safras 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4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 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e 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202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5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/2</a:t>
          </a:r>
          <a:r>
            <a:rPr lang="pt-BR"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6</a:t>
          </a: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/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  <a:t/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1461696</xdr:colOff>
      <xdr:row>61</xdr:row>
      <xdr:rowOff>166157</xdr:rowOff>
    </xdr:to>
    <xdr:sp macro="" textlink="">
      <xdr:nvSpPr>
        <xdr:cNvPr id="7" name="Retângulo de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00000000-0008-0000-4D00-000007000000}"/>
            </a:ext>
          </a:extLst>
        </xdr:cNvPr>
        <xdr:cNvSpPr/>
      </xdr:nvSpPr>
      <xdr:spPr bwMode="auto">
        <a:xfrm>
          <a:off x="0" y="10922000"/>
          <a:ext cx="1461696" cy="40957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dro.salomao/Downloads/P11_PREVISAO_DE_SAFRA-POR_PRODUTO-SET-20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ada de Dados"/>
      <sheetName val="Principal"/>
      <sheetName val="Área_Brasil"/>
      <sheetName val="Produtividade_Brasil"/>
      <sheetName val="Produção_Brasil"/>
      <sheetName val="Brasil total por UF"/>
      <sheetName val="Brasil - Total por Produto"/>
      <sheetName val="Algodao Geral"/>
      <sheetName val="Algodao Total"/>
      <sheetName val="Algodao em Pluma"/>
      <sheetName val="Caroço de Algodão"/>
      <sheetName val="Algodão Rendimento"/>
      <sheetName val="Amendoim 1a"/>
      <sheetName val="Amendoim 2a"/>
      <sheetName val="Amendoim Total"/>
      <sheetName val="Arroz Irrigado"/>
      <sheetName val="Arroz Sequeiro"/>
      <sheetName val="Arroz Total"/>
      <sheetName val="Feijão 1a Cores"/>
      <sheetName val="Feijão 1a Preto"/>
      <sheetName val="Feijão 1a Caupi"/>
      <sheetName val="Feijão 1a Total"/>
      <sheetName val="Feijão 2a Cores"/>
      <sheetName val="Feijão 2a Preto"/>
      <sheetName val="Feijão 2a Caupi"/>
      <sheetName val="Feijão 2a Total"/>
      <sheetName val="Feijão 3a Cores"/>
      <sheetName val="Feijão 3a Preto"/>
      <sheetName val="Feijão 3a Caupi"/>
      <sheetName val="Feijão 3a Total"/>
      <sheetName val="Feijão Cores Total"/>
      <sheetName val="Feijão Preto Total"/>
      <sheetName val="Feijão Caupi Total"/>
      <sheetName val="Feijão Total"/>
      <sheetName val="Gergelim"/>
      <sheetName val="Girassol"/>
      <sheetName val="Mamona"/>
      <sheetName val="Milho 1a"/>
      <sheetName val="Milho 2a"/>
      <sheetName val="Milho 3a"/>
      <sheetName val="Milho Total"/>
      <sheetName val="Soja"/>
      <sheetName val="Sorgo"/>
      <sheetName val="Aveia"/>
      <sheetName val="Canola"/>
      <sheetName val="Centeio"/>
      <sheetName val="Cevada"/>
      <sheetName val="Trigo"/>
      <sheetName val="Triticale"/>
      <sheetName val="Suprimento"/>
      <sheetName val="Suprimento - Soja"/>
      <sheetName val="AC"/>
      <sheetName val="AL"/>
      <sheetName val="AM"/>
      <sheetName val="AP"/>
      <sheetName val="BA"/>
      <sheetName val="CE"/>
      <sheetName val="DF"/>
      <sheetName val="ES"/>
      <sheetName val="GO"/>
      <sheetName val="MA"/>
      <sheetName val="MG"/>
      <sheetName val="MS"/>
      <sheetName val="MT"/>
      <sheetName val="PA"/>
      <sheetName val="PB"/>
      <sheetName val="PE"/>
      <sheetName val="PI"/>
      <sheetName val="PR"/>
      <sheetName val="RJ"/>
      <sheetName val="RN"/>
      <sheetName val="RO"/>
      <sheetName val="RR"/>
      <sheetName val="RS"/>
      <sheetName val="SC"/>
      <sheetName val="SE"/>
      <sheetName val="SP"/>
      <sheetName val="TO"/>
      <sheetName val="Evolução Algodao Total"/>
      <sheetName val="Evolução Amendoim 1a"/>
      <sheetName val="Evolução Amendoim 2a"/>
      <sheetName val="Evolução Arroz Sequeiro"/>
      <sheetName val="Evolução Arroz Irrigado"/>
      <sheetName val="Evolução Arroz Total"/>
      <sheetName val="Evolução Feijão 1a Cores"/>
      <sheetName val="Evolução Feijão 1a Preto"/>
      <sheetName val="Evolução Feijão 1a Caupi"/>
      <sheetName val="Evolução Feijão 1a TOTAL"/>
      <sheetName val="Evolução Feijão 2a Cores"/>
      <sheetName val="Evolução Feijão 2a Preto"/>
      <sheetName val="Evolução Feijão 2a Caupi"/>
      <sheetName val="Evolução Feijão 2a TOTAL"/>
      <sheetName val="Evolução Feijão 3a Cores"/>
      <sheetName val="Evolução Feijão 3a Preto"/>
      <sheetName val="Evolução Feijão 3a Caupi"/>
      <sheetName val="Evolução Feijão 3a TOTAL"/>
      <sheetName val="Evolução Gergelim"/>
      <sheetName val="Evolução Girassol"/>
      <sheetName val="Evolução Mamona"/>
      <sheetName val="Evolução Milho 1a"/>
      <sheetName val="Evolução Milho 2a"/>
      <sheetName val="Evolução Milho 3a"/>
      <sheetName val="Evolução Soja"/>
      <sheetName val="Evolução Sorgo"/>
      <sheetName val="Evolução Aveia"/>
      <sheetName val="Evolução Canola"/>
      <sheetName val="Evolução Centeio"/>
      <sheetName val="Evolução Cevada"/>
      <sheetName val="Evolução Trigo"/>
      <sheetName val="Evolução Triticale"/>
      <sheetName val="Area 1a e 2a safra"/>
    </sheetNames>
    <sheetDataSet>
      <sheetData sheetId="0">
        <row r="19">
          <cell r="B19" t="str">
            <v>set/26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15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16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18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025"/>
  <sheetViews>
    <sheetView showGridLines="0" zoomScale="85" zoomScaleNormal="85" workbookViewId="0">
      <selection activeCell="W11" sqref="W11"/>
    </sheetView>
  </sheetViews>
  <sheetFormatPr defaultColWidth="8" defaultRowHeight="12.75" customHeight="1" x14ac:dyDescent="0.2"/>
  <cols>
    <col min="20" max="122" width="9.42578125" style="3" customWidth="1"/>
  </cols>
  <sheetData>
    <row r="1" spans="1:19" ht="12.7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57.7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ht="12.75" customHeight="1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ht="12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pans="1:19" ht="12.75" customHeight="1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ht="12.75" customHeight="1" x14ac:dyDescent="0.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ht="12.75" customHeight="1" x14ac:dyDescent="0.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19" ht="12.75" customHeight="1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1:19" ht="12.75" customHeight="1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1:19" ht="12.75" customHeight="1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1:19" ht="12.75" customHeight="1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ht="12.75" customHeight="1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ht="12.75" customHeight="1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19" ht="12.7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19" ht="12.7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19" ht="12.7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ht="12.75" customHeight="1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ht="12.7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ht="12.75" customHeight="1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ht="12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ht="12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12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12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12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12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12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12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ht="12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spans="1:19" ht="12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19" ht="12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spans="1:19" ht="12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spans="1:19" ht="12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19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spans="1:19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ht="12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ht="12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ht="12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ht="12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ht="12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spans="1:19" s="3" customFormat="1" ht="12.75" customHeight="1" x14ac:dyDescent="0.2"/>
    <row r="43" spans="1:19" s="3" customFormat="1" ht="12.75" customHeight="1" x14ac:dyDescent="0.2"/>
    <row r="44" spans="1:19" s="3" customFormat="1" ht="12.75" customHeight="1" x14ac:dyDescent="0.2"/>
    <row r="45" spans="1:19" s="3" customFormat="1" ht="12.75" customHeight="1" x14ac:dyDescent="0.2"/>
    <row r="46" spans="1:19" s="3" customFormat="1" ht="12.75" customHeight="1" x14ac:dyDescent="0.2"/>
    <row r="47" spans="1:19" s="3" customFormat="1" ht="12.75" customHeight="1" x14ac:dyDescent="0.2"/>
    <row r="48" spans="1:19" s="3" customFormat="1" ht="12.75" customHeight="1" x14ac:dyDescent="0.2"/>
    <row r="49" s="3" customFormat="1" ht="12.75" customHeight="1" x14ac:dyDescent="0.2"/>
    <row r="50" s="3" customFormat="1" ht="12.75" customHeight="1" x14ac:dyDescent="0.2"/>
    <row r="51" s="3" customFormat="1" ht="12.75" customHeight="1" x14ac:dyDescent="0.2"/>
    <row r="52" s="3" customFormat="1" ht="12.75" customHeight="1" x14ac:dyDescent="0.2"/>
    <row r="53" s="3" customFormat="1" ht="12.75" customHeight="1" x14ac:dyDescent="0.2"/>
    <row r="54" s="3" customFormat="1" ht="12.75" customHeight="1" x14ac:dyDescent="0.2"/>
    <row r="55" s="3" customFormat="1" ht="12.75" customHeight="1" x14ac:dyDescent="0.2"/>
    <row r="56" s="3" customFormat="1" ht="12.75" customHeight="1" x14ac:dyDescent="0.2"/>
    <row r="57" s="3" customFormat="1" ht="12.75" customHeight="1" x14ac:dyDescent="0.2"/>
    <row r="58" s="3" customFormat="1" ht="12.75" customHeight="1" x14ac:dyDescent="0.2"/>
    <row r="59" s="3" customFormat="1" ht="12.75" customHeight="1" x14ac:dyDescent="0.2"/>
    <row r="60" s="3" customFormat="1" ht="12.75" customHeight="1" x14ac:dyDescent="0.2"/>
    <row r="61" s="3" customFormat="1" ht="12.75" customHeight="1" x14ac:dyDescent="0.2"/>
    <row r="62" s="3" customFormat="1" ht="12.75" customHeight="1" x14ac:dyDescent="0.2"/>
    <row r="63" s="3" customFormat="1" ht="12.75" customHeight="1" x14ac:dyDescent="0.2"/>
    <row r="64" s="3" customFormat="1" ht="12.75" customHeight="1" x14ac:dyDescent="0.2"/>
    <row r="65" s="3" customFormat="1" ht="12.75" customHeight="1" x14ac:dyDescent="0.2"/>
    <row r="66" s="3" customFormat="1" ht="12.75" customHeight="1" x14ac:dyDescent="0.2"/>
    <row r="67" s="3" customFormat="1" ht="12.75" customHeight="1" x14ac:dyDescent="0.2"/>
    <row r="68" s="3" customFormat="1" ht="12.75" customHeight="1" x14ac:dyDescent="0.2"/>
    <row r="69" s="3" customFormat="1" ht="12.75" customHeight="1" x14ac:dyDescent="0.2"/>
    <row r="70" s="3" customFormat="1" ht="12.75" customHeight="1" x14ac:dyDescent="0.2"/>
    <row r="71" s="3" customFormat="1" ht="12.75" customHeight="1" x14ac:dyDescent="0.2"/>
    <row r="72" s="3" customFormat="1" ht="12.75" customHeight="1" x14ac:dyDescent="0.2"/>
    <row r="73" s="3" customFormat="1" ht="12.75" customHeight="1" x14ac:dyDescent="0.2"/>
    <row r="74" s="3" customFormat="1" ht="12.75" customHeight="1" x14ac:dyDescent="0.2"/>
    <row r="75" s="3" customFormat="1" ht="12.75" customHeight="1" x14ac:dyDescent="0.2"/>
    <row r="76" s="3" customFormat="1" ht="12.75" customHeight="1" x14ac:dyDescent="0.2"/>
    <row r="77" s="3" customFormat="1" ht="12.75" customHeight="1" x14ac:dyDescent="0.2"/>
    <row r="78" s="3" customFormat="1" ht="12.75" customHeight="1" x14ac:dyDescent="0.2"/>
    <row r="79" s="3" customFormat="1" ht="12.75" customHeight="1" x14ac:dyDescent="0.2"/>
    <row r="80" s="3" customFormat="1" ht="12.75" customHeight="1" x14ac:dyDescent="0.2"/>
    <row r="81" s="3" customFormat="1" ht="12.75" customHeight="1" x14ac:dyDescent="0.2"/>
    <row r="82" s="3" customFormat="1" ht="12.75" customHeight="1" x14ac:dyDescent="0.2"/>
    <row r="83" s="3" customFormat="1" ht="12.75" customHeight="1" x14ac:dyDescent="0.2"/>
    <row r="84" s="3" customFormat="1" ht="12.75" customHeight="1" x14ac:dyDescent="0.2"/>
    <row r="85" s="3" customFormat="1" ht="12.75" customHeight="1" x14ac:dyDescent="0.2"/>
    <row r="86" s="3" customFormat="1" ht="12.75" customHeight="1" x14ac:dyDescent="0.2"/>
    <row r="87" s="3" customFormat="1" ht="12.75" customHeight="1" x14ac:dyDescent="0.2"/>
    <row r="88" s="3" customFormat="1" ht="12.75" customHeight="1" x14ac:dyDescent="0.2"/>
    <row r="89" s="3" customFormat="1" ht="12.75" customHeight="1" x14ac:dyDescent="0.2"/>
    <row r="90" s="3" customFormat="1" ht="12.75" customHeight="1" x14ac:dyDescent="0.2"/>
    <row r="91" s="3" customFormat="1" ht="12.75" customHeight="1" x14ac:dyDescent="0.2"/>
    <row r="92" s="3" customFormat="1" ht="12.75" customHeight="1" x14ac:dyDescent="0.2"/>
    <row r="93" s="3" customFormat="1" ht="12.75" customHeight="1" x14ac:dyDescent="0.2"/>
    <row r="94" s="3" customFormat="1" ht="12.75" customHeight="1" x14ac:dyDescent="0.2"/>
    <row r="95" s="3" customFormat="1" ht="12.75" customHeight="1" x14ac:dyDescent="0.2"/>
    <row r="96" s="3" customFormat="1" ht="12.75" customHeight="1" x14ac:dyDescent="0.2"/>
    <row r="97" s="3" customFormat="1" ht="12.75" customHeight="1" x14ac:dyDescent="0.2"/>
    <row r="98" s="3" customFormat="1" ht="12.75" customHeight="1" x14ac:dyDescent="0.2"/>
    <row r="99" s="3" customFormat="1" ht="12.75" customHeight="1" x14ac:dyDescent="0.2"/>
    <row r="100" s="3" customFormat="1" ht="12.75" customHeight="1" x14ac:dyDescent="0.2"/>
    <row r="101" s="3" customFormat="1" ht="12.75" customHeight="1" x14ac:dyDescent="0.2"/>
    <row r="102" s="3" customFormat="1" ht="12.75" customHeight="1" x14ac:dyDescent="0.2"/>
    <row r="103" s="3" customFormat="1" ht="12.75" customHeight="1" x14ac:dyDescent="0.2"/>
    <row r="104" s="3" customFormat="1" ht="12.75" customHeight="1" x14ac:dyDescent="0.2"/>
    <row r="105" s="3" customFormat="1" ht="12.75" customHeight="1" x14ac:dyDescent="0.2"/>
    <row r="106" s="3" customFormat="1" ht="12.75" customHeight="1" x14ac:dyDescent="0.2"/>
    <row r="107" s="3" customFormat="1" ht="12.75" customHeight="1" x14ac:dyDescent="0.2"/>
    <row r="108" s="3" customFormat="1" ht="12.75" customHeight="1" x14ac:dyDescent="0.2"/>
    <row r="109" s="3" customFormat="1" ht="12.75" customHeight="1" x14ac:dyDescent="0.2"/>
    <row r="110" s="3" customFormat="1" ht="12.75" customHeight="1" x14ac:dyDescent="0.2"/>
    <row r="111" s="3" customFormat="1" ht="12.75" customHeight="1" x14ac:dyDescent="0.2"/>
    <row r="112" s="3" customFormat="1" ht="12.75" customHeight="1" x14ac:dyDescent="0.2"/>
    <row r="113" s="3" customFormat="1" ht="12.75" customHeight="1" x14ac:dyDescent="0.2"/>
    <row r="114" s="3" customFormat="1" ht="12.75" customHeight="1" x14ac:dyDescent="0.2"/>
    <row r="115" s="3" customFormat="1" ht="12.75" customHeight="1" x14ac:dyDescent="0.2"/>
    <row r="116" s="3" customFormat="1" ht="12.75" customHeight="1" x14ac:dyDescent="0.2"/>
    <row r="117" s="3" customFormat="1" ht="12.75" customHeight="1" x14ac:dyDescent="0.2"/>
    <row r="118" s="3" customFormat="1" ht="12.75" customHeight="1" x14ac:dyDescent="0.2"/>
    <row r="119" s="3" customFormat="1" ht="12.75" customHeight="1" x14ac:dyDescent="0.2"/>
    <row r="120" s="3" customFormat="1" ht="12.75" customHeight="1" x14ac:dyDescent="0.2"/>
    <row r="121" s="3" customFormat="1" ht="12.75" customHeight="1" x14ac:dyDescent="0.2"/>
    <row r="122" s="3" customFormat="1" ht="12.75" customHeight="1" x14ac:dyDescent="0.2"/>
    <row r="123" s="3" customFormat="1" ht="12.75" customHeight="1" x14ac:dyDescent="0.2"/>
    <row r="124" s="3" customFormat="1" ht="12.75" customHeight="1" x14ac:dyDescent="0.2"/>
    <row r="125" s="3" customFormat="1" ht="12.75" customHeight="1" x14ac:dyDescent="0.2"/>
    <row r="126" s="3" customFormat="1" ht="12.75" customHeight="1" x14ac:dyDescent="0.2"/>
    <row r="127" s="3" customFormat="1" ht="12.75" customHeight="1" x14ac:dyDescent="0.2"/>
    <row r="128" s="3" customFormat="1" ht="12.75" customHeight="1" x14ac:dyDescent="0.2"/>
    <row r="129" s="3" customFormat="1" ht="12.75" customHeight="1" x14ac:dyDescent="0.2"/>
    <row r="130" s="3" customFormat="1" ht="12.75" customHeight="1" x14ac:dyDescent="0.2"/>
    <row r="131" s="3" customFormat="1" ht="12.75" customHeight="1" x14ac:dyDescent="0.2"/>
    <row r="132" s="3" customFormat="1" ht="12.75" customHeight="1" x14ac:dyDescent="0.2"/>
    <row r="133" s="3" customFormat="1" ht="12.75" customHeight="1" x14ac:dyDescent="0.2"/>
    <row r="134" s="3" customFormat="1" ht="12.75" customHeight="1" x14ac:dyDescent="0.2"/>
    <row r="135" s="3" customFormat="1" ht="12.75" customHeight="1" x14ac:dyDescent="0.2"/>
    <row r="136" s="3" customFormat="1" ht="12.75" customHeight="1" x14ac:dyDescent="0.2"/>
    <row r="137" s="3" customFormat="1" ht="12.75" customHeight="1" x14ac:dyDescent="0.2"/>
    <row r="138" s="3" customFormat="1" ht="12.75" customHeight="1" x14ac:dyDescent="0.2"/>
    <row r="139" s="3" customFormat="1" ht="12.75" customHeight="1" x14ac:dyDescent="0.2"/>
    <row r="140" s="3" customFormat="1" ht="12.75" customHeight="1" x14ac:dyDescent="0.2"/>
    <row r="141" s="3" customFormat="1" ht="12.75" customHeight="1" x14ac:dyDescent="0.2"/>
    <row r="142" s="3" customFormat="1" ht="12.75" customHeight="1" x14ac:dyDescent="0.2"/>
    <row r="143" s="3" customFormat="1" ht="12.75" customHeight="1" x14ac:dyDescent="0.2"/>
    <row r="144" s="3" customFormat="1" ht="12.75" customHeight="1" x14ac:dyDescent="0.2"/>
    <row r="145" s="3" customFormat="1" ht="12.75" customHeight="1" x14ac:dyDescent="0.2"/>
    <row r="146" s="3" customFormat="1" ht="12.75" customHeight="1" x14ac:dyDescent="0.2"/>
    <row r="147" s="3" customFormat="1" ht="12.75" customHeight="1" x14ac:dyDescent="0.2"/>
    <row r="148" s="3" customFormat="1" ht="12.75" customHeight="1" x14ac:dyDescent="0.2"/>
    <row r="149" s="3" customFormat="1" ht="12.75" customHeight="1" x14ac:dyDescent="0.2"/>
    <row r="150" s="3" customFormat="1" ht="12.75" customHeight="1" x14ac:dyDescent="0.2"/>
    <row r="151" s="3" customFormat="1" ht="12.75" customHeight="1" x14ac:dyDescent="0.2"/>
    <row r="152" s="3" customFormat="1" ht="12.75" customHeight="1" x14ac:dyDescent="0.2"/>
    <row r="153" s="3" customFormat="1" ht="12.75" customHeight="1" x14ac:dyDescent="0.2"/>
    <row r="154" s="3" customFormat="1" ht="12.75" customHeight="1" x14ac:dyDescent="0.2"/>
    <row r="155" s="3" customFormat="1" ht="12.75" customHeight="1" x14ac:dyDescent="0.2"/>
    <row r="156" s="3" customFormat="1" ht="12.75" customHeight="1" x14ac:dyDescent="0.2"/>
    <row r="157" s="3" customFormat="1" ht="12.75" customHeight="1" x14ac:dyDescent="0.2"/>
    <row r="158" s="3" customFormat="1" ht="12.75" customHeight="1" x14ac:dyDescent="0.2"/>
    <row r="159" s="3" customFormat="1" ht="12.75" customHeight="1" x14ac:dyDescent="0.2"/>
    <row r="160" s="3" customFormat="1" ht="12.75" customHeight="1" x14ac:dyDescent="0.2"/>
    <row r="161" s="3" customFormat="1" ht="12.75" customHeight="1" x14ac:dyDescent="0.2"/>
    <row r="162" s="3" customFormat="1" ht="12.75" customHeight="1" x14ac:dyDescent="0.2"/>
    <row r="163" s="3" customFormat="1" ht="12.75" customHeight="1" x14ac:dyDescent="0.2"/>
    <row r="164" s="3" customFormat="1" ht="12.75" customHeight="1" x14ac:dyDescent="0.2"/>
    <row r="165" s="3" customFormat="1" ht="12.75" customHeight="1" x14ac:dyDescent="0.2"/>
    <row r="166" s="3" customFormat="1" ht="12.75" customHeight="1" x14ac:dyDescent="0.2"/>
    <row r="167" s="3" customFormat="1" ht="12.75" customHeight="1" x14ac:dyDescent="0.2"/>
    <row r="168" s="3" customFormat="1" ht="12.75" customHeight="1" x14ac:dyDescent="0.2"/>
    <row r="169" s="3" customFormat="1" ht="12.75" customHeight="1" x14ac:dyDescent="0.2"/>
    <row r="170" s="3" customFormat="1" ht="12.75" customHeight="1" x14ac:dyDescent="0.2"/>
    <row r="171" s="3" customFormat="1" ht="12.75" customHeight="1" x14ac:dyDescent="0.2"/>
    <row r="172" s="3" customFormat="1" ht="12.75" customHeight="1" x14ac:dyDescent="0.2"/>
    <row r="173" s="3" customFormat="1" ht="12.75" customHeight="1" x14ac:dyDescent="0.2"/>
    <row r="174" s="3" customFormat="1" ht="12.75" customHeight="1" x14ac:dyDescent="0.2"/>
    <row r="175" s="3" customFormat="1" ht="12.75" customHeight="1" x14ac:dyDescent="0.2"/>
    <row r="176" s="3" customFormat="1" ht="12.75" customHeight="1" x14ac:dyDescent="0.2"/>
    <row r="177" s="3" customFormat="1" ht="12.75" customHeight="1" x14ac:dyDescent="0.2"/>
    <row r="178" s="3" customFormat="1" ht="12.75" customHeight="1" x14ac:dyDescent="0.2"/>
    <row r="179" s="3" customFormat="1" ht="12.75" customHeight="1" x14ac:dyDescent="0.2"/>
    <row r="180" s="3" customFormat="1" ht="12.75" customHeight="1" x14ac:dyDescent="0.2"/>
    <row r="181" s="3" customFormat="1" ht="12.75" customHeight="1" x14ac:dyDescent="0.2"/>
    <row r="182" s="3" customFormat="1" ht="12.75" customHeight="1" x14ac:dyDescent="0.2"/>
    <row r="183" s="3" customFormat="1" ht="12.75" customHeight="1" x14ac:dyDescent="0.2"/>
    <row r="184" s="3" customFormat="1" ht="12.75" customHeight="1" x14ac:dyDescent="0.2"/>
    <row r="185" s="3" customFormat="1" ht="12.75" customHeight="1" x14ac:dyDescent="0.2"/>
    <row r="186" s="3" customFormat="1" ht="12.75" customHeight="1" x14ac:dyDescent="0.2"/>
    <row r="187" s="3" customFormat="1" ht="12.75" customHeight="1" x14ac:dyDescent="0.2"/>
    <row r="188" s="3" customFormat="1" ht="12.75" customHeight="1" x14ac:dyDescent="0.2"/>
    <row r="189" s="3" customFormat="1" ht="12.75" customHeight="1" x14ac:dyDescent="0.2"/>
    <row r="190" s="3" customFormat="1" ht="12.75" customHeight="1" x14ac:dyDescent="0.2"/>
    <row r="191" s="3" customFormat="1" ht="12.75" customHeight="1" x14ac:dyDescent="0.2"/>
    <row r="192" s="3" customFormat="1" ht="12.75" customHeight="1" x14ac:dyDescent="0.2"/>
    <row r="193" s="3" customFormat="1" ht="12.75" customHeight="1" x14ac:dyDescent="0.2"/>
    <row r="194" s="3" customFormat="1" ht="12.75" customHeight="1" x14ac:dyDescent="0.2"/>
    <row r="195" s="3" customFormat="1" ht="12.75" customHeight="1" x14ac:dyDescent="0.2"/>
    <row r="196" s="3" customFormat="1" ht="12.75" customHeight="1" x14ac:dyDescent="0.2"/>
    <row r="197" s="3" customFormat="1" ht="12.75" customHeight="1" x14ac:dyDescent="0.2"/>
    <row r="198" s="3" customFormat="1" ht="12.75" customHeight="1" x14ac:dyDescent="0.2"/>
    <row r="199" s="3" customFormat="1" ht="12.75" customHeight="1" x14ac:dyDescent="0.2"/>
    <row r="200" s="3" customFormat="1" ht="12.75" customHeight="1" x14ac:dyDescent="0.2"/>
    <row r="201" s="3" customFormat="1" ht="12.75" customHeight="1" x14ac:dyDescent="0.2"/>
    <row r="202" s="3" customFormat="1" ht="12.75" customHeight="1" x14ac:dyDescent="0.2"/>
    <row r="203" s="3" customFormat="1" ht="12.75" customHeight="1" x14ac:dyDescent="0.2"/>
    <row r="204" s="3" customFormat="1" ht="12.75" customHeight="1" x14ac:dyDescent="0.2"/>
    <row r="205" s="3" customFormat="1" ht="12.75" customHeight="1" x14ac:dyDescent="0.2"/>
    <row r="206" s="3" customFormat="1" ht="12.75" customHeight="1" x14ac:dyDescent="0.2"/>
    <row r="207" s="3" customFormat="1" ht="12.75" customHeight="1" x14ac:dyDescent="0.2"/>
    <row r="208" s="3" customFormat="1" ht="12.75" customHeight="1" x14ac:dyDescent="0.2"/>
    <row r="209" s="3" customFormat="1" ht="12.75" customHeight="1" x14ac:dyDescent="0.2"/>
    <row r="210" s="3" customFormat="1" ht="12.75" customHeight="1" x14ac:dyDescent="0.2"/>
    <row r="211" s="3" customFormat="1" ht="12.75" customHeight="1" x14ac:dyDescent="0.2"/>
    <row r="212" s="3" customFormat="1" ht="12.75" customHeight="1" x14ac:dyDescent="0.2"/>
    <row r="213" s="3" customFormat="1" ht="12.75" customHeight="1" x14ac:dyDescent="0.2"/>
    <row r="214" s="3" customFormat="1" ht="12.75" customHeight="1" x14ac:dyDescent="0.2"/>
    <row r="215" s="3" customFormat="1" ht="12.75" customHeight="1" x14ac:dyDescent="0.2"/>
    <row r="216" s="3" customFormat="1" ht="12.75" customHeight="1" x14ac:dyDescent="0.2"/>
    <row r="217" s="3" customFormat="1" ht="12.75" customHeight="1" x14ac:dyDescent="0.2"/>
    <row r="218" s="3" customFormat="1" ht="12.75" customHeight="1" x14ac:dyDescent="0.2"/>
    <row r="219" s="3" customFormat="1" ht="12.75" customHeight="1" x14ac:dyDescent="0.2"/>
    <row r="220" s="3" customFormat="1" ht="12.75" customHeight="1" x14ac:dyDescent="0.2"/>
    <row r="221" s="3" customFormat="1" ht="12.75" customHeight="1" x14ac:dyDescent="0.2"/>
    <row r="222" s="3" customFormat="1" ht="12.75" customHeight="1" x14ac:dyDescent="0.2"/>
    <row r="223" s="3" customFormat="1" ht="12.75" customHeight="1" x14ac:dyDescent="0.2"/>
    <row r="224" s="3" customFormat="1" ht="12.75" customHeight="1" x14ac:dyDescent="0.2"/>
    <row r="225" s="3" customFormat="1" ht="12.75" customHeight="1" x14ac:dyDescent="0.2"/>
    <row r="226" s="3" customFormat="1" ht="12.75" customHeight="1" x14ac:dyDescent="0.2"/>
    <row r="227" s="3" customFormat="1" ht="12.75" customHeight="1" x14ac:dyDescent="0.2"/>
    <row r="228" s="3" customFormat="1" ht="12.75" customHeight="1" x14ac:dyDescent="0.2"/>
    <row r="229" s="3" customFormat="1" ht="12.75" customHeight="1" x14ac:dyDescent="0.2"/>
    <row r="230" s="3" customFormat="1" ht="12.75" customHeight="1" x14ac:dyDescent="0.2"/>
    <row r="231" s="3" customFormat="1" ht="12.75" customHeight="1" x14ac:dyDescent="0.2"/>
    <row r="232" s="3" customFormat="1" ht="12.75" customHeight="1" x14ac:dyDescent="0.2"/>
    <row r="233" s="3" customFormat="1" ht="12.75" customHeight="1" x14ac:dyDescent="0.2"/>
    <row r="234" s="3" customFormat="1" ht="12.75" customHeight="1" x14ac:dyDescent="0.2"/>
    <row r="235" s="3" customFormat="1" ht="12.75" customHeight="1" x14ac:dyDescent="0.2"/>
    <row r="236" s="3" customFormat="1" ht="12.75" customHeight="1" x14ac:dyDescent="0.2"/>
    <row r="237" s="3" customFormat="1" ht="12.75" customHeight="1" x14ac:dyDescent="0.2"/>
    <row r="238" s="3" customFormat="1" ht="12.75" customHeight="1" x14ac:dyDescent="0.2"/>
    <row r="239" s="3" customFormat="1" ht="12.75" customHeight="1" x14ac:dyDescent="0.2"/>
    <row r="240" s="3" customFormat="1" ht="12.75" customHeight="1" x14ac:dyDescent="0.2"/>
    <row r="241" s="3" customFormat="1" ht="12.75" customHeight="1" x14ac:dyDescent="0.2"/>
    <row r="242" s="3" customFormat="1" ht="12.75" customHeight="1" x14ac:dyDescent="0.2"/>
    <row r="243" s="3" customFormat="1" ht="12.75" customHeight="1" x14ac:dyDescent="0.2"/>
    <row r="244" s="3" customFormat="1" ht="12.75" customHeight="1" x14ac:dyDescent="0.2"/>
    <row r="245" s="3" customFormat="1" ht="12.75" customHeight="1" x14ac:dyDescent="0.2"/>
    <row r="246" s="3" customFormat="1" ht="12.75" customHeight="1" x14ac:dyDescent="0.2"/>
    <row r="247" s="3" customFormat="1" ht="12.75" customHeight="1" x14ac:dyDescent="0.2"/>
    <row r="248" s="3" customFormat="1" ht="12.75" customHeight="1" x14ac:dyDescent="0.2"/>
    <row r="249" s="3" customFormat="1" ht="12.75" customHeight="1" x14ac:dyDescent="0.2"/>
    <row r="250" s="3" customFormat="1" ht="12.75" customHeight="1" x14ac:dyDescent="0.2"/>
    <row r="251" s="3" customFormat="1" ht="12.75" customHeight="1" x14ac:dyDescent="0.2"/>
    <row r="252" s="3" customFormat="1" ht="12.75" customHeight="1" x14ac:dyDescent="0.2"/>
    <row r="253" s="3" customFormat="1" ht="12.75" customHeight="1" x14ac:dyDescent="0.2"/>
    <row r="254" s="3" customFormat="1" ht="12.75" customHeight="1" x14ac:dyDescent="0.2"/>
    <row r="255" s="3" customFormat="1" ht="12.75" customHeight="1" x14ac:dyDescent="0.2"/>
    <row r="256" s="3" customFormat="1" ht="12.75" customHeight="1" x14ac:dyDescent="0.2"/>
    <row r="257" s="3" customFormat="1" ht="12.75" customHeight="1" x14ac:dyDescent="0.2"/>
    <row r="258" s="3" customFormat="1" ht="12.75" customHeight="1" x14ac:dyDescent="0.2"/>
    <row r="259" s="3" customFormat="1" ht="12.75" customHeight="1" x14ac:dyDescent="0.2"/>
    <row r="260" s="3" customFormat="1" ht="12.75" customHeight="1" x14ac:dyDescent="0.2"/>
    <row r="261" s="3" customFormat="1" ht="12.75" customHeight="1" x14ac:dyDescent="0.2"/>
    <row r="262" s="3" customFormat="1" ht="12.75" customHeight="1" x14ac:dyDescent="0.2"/>
    <row r="263" s="3" customFormat="1" ht="12.75" customHeight="1" x14ac:dyDescent="0.2"/>
    <row r="264" s="3" customFormat="1" ht="12.75" customHeight="1" x14ac:dyDescent="0.2"/>
    <row r="265" s="3" customFormat="1" ht="12.75" customHeight="1" x14ac:dyDescent="0.2"/>
    <row r="266" s="3" customFormat="1" ht="12.75" customHeight="1" x14ac:dyDescent="0.2"/>
    <row r="267" s="3" customFormat="1" ht="12.75" customHeight="1" x14ac:dyDescent="0.2"/>
    <row r="268" s="3" customFormat="1" ht="12.75" customHeight="1" x14ac:dyDescent="0.2"/>
    <row r="269" s="3" customFormat="1" ht="12.75" customHeight="1" x14ac:dyDescent="0.2"/>
    <row r="270" s="3" customFormat="1" ht="12.75" customHeight="1" x14ac:dyDescent="0.2"/>
    <row r="271" s="3" customFormat="1" ht="12.75" customHeight="1" x14ac:dyDescent="0.2"/>
    <row r="272" s="3" customFormat="1" ht="12.75" customHeight="1" x14ac:dyDescent="0.2"/>
    <row r="273" s="3" customFormat="1" ht="12.75" customHeight="1" x14ac:dyDescent="0.2"/>
    <row r="274" s="3" customFormat="1" ht="12.75" customHeight="1" x14ac:dyDescent="0.2"/>
    <row r="275" s="3" customFormat="1" ht="12.75" customHeight="1" x14ac:dyDescent="0.2"/>
    <row r="276" s="3" customFormat="1" ht="12.75" customHeight="1" x14ac:dyDescent="0.2"/>
    <row r="277" s="3" customFormat="1" ht="12.75" customHeight="1" x14ac:dyDescent="0.2"/>
    <row r="278" s="3" customFormat="1" ht="12.75" customHeight="1" x14ac:dyDescent="0.2"/>
    <row r="279" s="3" customFormat="1" ht="12.75" customHeight="1" x14ac:dyDescent="0.2"/>
    <row r="280" s="3" customFormat="1" ht="12.75" customHeight="1" x14ac:dyDescent="0.2"/>
    <row r="281" s="3" customFormat="1" ht="12.75" customHeight="1" x14ac:dyDescent="0.2"/>
    <row r="282" s="3" customFormat="1" ht="12.75" customHeight="1" x14ac:dyDescent="0.2"/>
    <row r="283" s="3" customFormat="1" ht="12.75" customHeight="1" x14ac:dyDescent="0.2"/>
    <row r="284" s="3" customFormat="1" ht="12.75" customHeight="1" x14ac:dyDescent="0.2"/>
    <row r="285" s="3" customFormat="1" ht="12.75" customHeight="1" x14ac:dyDescent="0.2"/>
    <row r="286" s="3" customFormat="1" ht="12.75" customHeight="1" x14ac:dyDescent="0.2"/>
    <row r="287" s="3" customFormat="1" ht="12.75" customHeight="1" x14ac:dyDescent="0.2"/>
    <row r="288" s="3" customFormat="1" ht="12.75" customHeight="1" x14ac:dyDescent="0.2"/>
    <row r="289" s="3" customFormat="1" ht="12.75" customHeight="1" x14ac:dyDescent="0.2"/>
    <row r="290" s="3" customFormat="1" ht="12.75" customHeight="1" x14ac:dyDescent="0.2"/>
    <row r="291" s="3" customFormat="1" ht="12.75" customHeight="1" x14ac:dyDescent="0.2"/>
    <row r="292" s="3" customFormat="1" ht="12.75" customHeight="1" x14ac:dyDescent="0.2"/>
    <row r="293" s="3" customFormat="1" ht="12.75" customHeight="1" x14ac:dyDescent="0.2"/>
    <row r="294" s="3" customFormat="1" ht="12.75" customHeight="1" x14ac:dyDescent="0.2"/>
    <row r="295" s="3" customFormat="1" ht="12.75" customHeight="1" x14ac:dyDescent="0.2"/>
    <row r="296" s="3" customFormat="1" ht="12.75" customHeight="1" x14ac:dyDescent="0.2"/>
    <row r="297" s="3" customFormat="1" ht="12.75" customHeight="1" x14ac:dyDescent="0.2"/>
    <row r="298" s="3" customFormat="1" ht="12.75" customHeight="1" x14ac:dyDescent="0.2"/>
    <row r="299" s="3" customFormat="1" ht="12.75" customHeight="1" x14ac:dyDescent="0.2"/>
    <row r="300" s="3" customFormat="1" ht="12.75" customHeight="1" x14ac:dyDescent="0.2"/>
    <row r="301" s="3" customFormat="1" ht="12.75" customHeight="1" x14ac:dyDescent="0.2"/>
    <row r="302" s="3" customFormat="1" ht="12.75" customHeight="1" x14ac:dyDescent="0.2"/>
    <row r="303" s="3" customFormat="1" ht="12.75" customHeight="1" x14ac:dyDescent="0.2"/>
    <row r="304" s="3" customFormat="1" ht="12.75" customHeight="1" x14ac:dyDescent="0.2"/>
    <row r="305" s="3" customFormat="1" ht="12.75" customHeight="1" x14ac:dyDescent="0.2"/>
    <row r="306" s="3" customFormat="1" ht="12.75" customHeight="1" x14ac:dyDescent="0.2"/>
    <row r="307" s="3" customFormat="1" ht="12.75" customHeight="1" x14ac:dyDescent="0.2"/>
    <row r="308" s="3" customFormat="1" ht="12.75" customHeight="1" x14ac:dyDescent="0.2"/>
    <row r="309" s="3" customFormat="1" ht="12.75" customHeight="1" x14ac:dyDescent="0.2"/>
    <row r="310" s="3" customFormat="1" ht="12.75" customHeight="1" x14ac:dyDescent="0.2"/>
    <row r="311" s="3" customFormat="1" ht="12.75" customHeight="1" x14ac:dyDescent="0.2"/>
    <row r="312" s="3" customFormat="1" ht="12.75" customHeight="1" x14ac:dyDescent="0.2"/>
    <row r="313" s="3" customFormat="1" ht="12.75" customHeight="1" x14ac:dyDescent="0.2"/>
    <row r="314" s="3" customFormat="1" ht="12.75" customHeight="1" x14ac:dyDescent="0.2"/>
    <row r="315" s="3" customFormat="1" ht="12.75" customHeight="1" x14ac:dyDescent="0.2"/>
    <row r="316" s="3" customFormat="1" ht="12.75" customHeight="1" x14ac:dyDescent="0.2"/>
    <row r="317" s="3" customFormat="1" ht="12.75" customHeight="1" x14ac:dyDescent="0.2"/>
    <row r="318" s="3" customFormat="1" ht="12.75" customHeight="1" x14ac:dyDescent="0.2"/>
    <row r="319" s="3" customFormat="1" ht="12.75" customHeight="1" x14ac:dyDescent="0.2"/>
    <row r="320" s="3" customFormat="1" ht="12.75" customHeight="1" x14ac:dyDescent="0.2"/>
    <row r="321" s="3" customFormat="1" ht="12.75" customHeight="1" x14ac:dyDescent="0.2"/>
    <row r="322" s="3" customFormat="1" ht="12.75" customHeight="1" x14ac:dyDescent="0.2"/>
    <row r="323" s="3" customFormat="1" ht="12.75" customHeight="1" x14ac:dyDescent="0.2"/>
    <row r="324" s="3" customFormat="1" ht="12.75" customHeight="1" x14ac:dyDescent="0.2"/>
    <row r="325" s="3" customFormat="1" ht="12.75" customHeight="1" x14ac:dyDescent="0.2"/>
    <row r="326" s="3" customFormat="1" ht="12.75" customHeight="1" x14ac:dyDescent="0.2"/>
    <row r="327" s="3" customFormat="1" ht="12.75" customHeight="1" x14ac:dyDescent="0.2"/>
    <row r="328" s="3" customFormat="1" ht="12.75" customHeight="1" x14ac:dyDescent="0.2"/>
    <row r="329" s="3" customFormat="1" ht="12.75" customHeight="1" x14ac:dyDescent="0.2"/>
    <row r="330" s="3" customFormat="1" ht="12.75" customHeight="1" x14ac:dyDescent="0.2"/>
    <row r="331" s="3" customFormat="1" ht="12.75" customHeight="1" x14ac:dyDescent="0.2"/>
    <row r="332" s="3" customFormat="1" ht="12.75" customHeight="1" x14ac:dyDescent="0.2"/>
    <row r="333" s="3" customFormat="1" ht="12.75" customHeight="1" x14ac:dyDescent="0.2"/>
    <row r="334" s="3" customFormat="1" ht="12.75" customHeight="1" x14ac:dyDescent="0.2"/>
    <row r="335" s="3" customFormat="1" ht="12.75" customHeight="1" x14ac:dyDescent="0.2"/>
    <row r="336" s="3" customFormat="1" ht="12.75" customHeight="1" x14ac:dyDescent="0.2"/>
    <row r="337" s="3" customFormat="1" ht="12.75" customHeight="1" x14ac:dyDescent="0.2"/>
    <row r="338" s="3" customFormat="1" ht="12.75" customHeight="1" x14ac:dyDescent="0.2"/>
    <row r="339" s="3" customFormat="1" ht="12.75" customHeight="1" x14ac:dyDescent="0.2"/>
    <row r="340" s="3" customFormat="1" ht="12.75" customHeight="1" x14ac:dyDescent="0.2"/>
    <row r="341" s="3" customFormat="1" ht="12.75" customHeight="1" x14ac:dyDescent="0.2"/>
    <row r="342" s="3" customFormat="1" ht="12.75" customHeight="1" x14ac:dyDescent="0.2"/>
    <row r="343" s="3" customFormat="1" ht="12.75" customHeight="1" x14ac:dyDescent="0.2"/>
    <row r="344" s="3" customFormat="1" ht="12.75" customHeight="1" x14ac:dyDescent="0.2"/>
    <row r="345" s="3" customFormat="1" ht="12.75" customHeight="1" x14ac:dyDescent="0.2"/>
    <row r="346" s="3" customFormat="1" ht="12.75" customHeight="1" x14ac:dyDescent="0.2"/>
    <row r="347" s="3" customFormat="1" ht="12.75" customHeight="1" x14ac:dyDescent="0.2"/>
    <row r="348" s="3" customFormat="1" ht="12.75" customHeight="1" x14ac:dyDescent="0.2"/>
    <row r="349" s="3" customFormat="1" ht="12.75" customHeight="1" x14ac:dyDescent="0.2"/>
    <row r="350" s="3" customFormat="1" ht="12.75" customHeight="1" x14ac:dyDescent="0.2"/>
    <row r="351" s="3" customFormat="1" ht="12.75" customHeight="1" x14ac:dyDescent="0.2"/>
    <row r="352" s="3" customFormat="1" ht="12.75" customHeight="1" x14ac:dyDescent="0.2"/>
    <row r="353" s="3" customFormat="1" ht="12.75" customHeight="1" x14ac:dyDescent="0.2"/>
    <row r="354" s="3" customFormat="1" ht="12.75" customHeight="1" x14ac:dyDescent="0.2"/>
    <row r="355" s="3" customFormat="1" ht="12.75" customHeight="1" x14ac:dyDescent="0.2"/>
    <row r="356" s="3" customFormat="1" ht="12.75" customHeight="1" x14ac:dyDescent="0.2"/>
    <row r="357" s="3" customFormat="1" ht="12.75" customHeight="1" x14ac:dyDescent="0.2"/>
    <row r="358" s="3" customFormat="1" ht="12.75" customHeight="1" x14ac:dyDescent="0.2"/>
    <row r="359" s="3" customFormat="1" ht="12.75" customHeight="1" x14ac:dyDescent="0.2"/>
    <row r="360" s="3" customFormat="1" ht="12.75" customHeight="1" x14ac:dyDescent="0.2"/>
    <row r="361" s="3" customFormat="1" ht="12.75" customHeight="1" x14ac:dyDescent="0.2"/>
    <row r="362" s="3" customFormat="1" ht="12.75" customHeight="1" x14ac:dyDescent="0.2"/>
    <row r="363" s="3" customFormat="1" ht="12.75" customHeight="1" x14ac:dyDescent="0.2"/>
    <row r="364" s="3" customFormat="1" ht="12.75" customHeight="1" x14ac:dyDescent="0.2"/>
    <row r="365" s="3" customFormat="1" ht="12.75" customHeight="1" x14ac:dyDescent="0.2"/>
    <row r="366" s="3" customFormat="1" ht="12.75" customHeight="1" x14ac:dyDescent="0.2"/>
    <row r="367" s="3" customFormat="1" ht="12.75" customHeight="1" x14ac:dyDescent="0.2"/>
    <row r="368" s="3" customFormat="1" ht="12.75" customHeight="1" x14ac:dyDescent="0.2"/>
    <row r="369" s="3" customFormat="1" ht="12.75" customHeight="1" x14ac:dyDescent="0.2"/>
    <row r="370" s="3" customFormat="1" ht="12.75" customHeight="1" x14ac:dyDescent="0.2"/>
    <row r="371" s="3" customFormat="1" ht="12.75" customHeight="1" x14ac:dyDescent="0.2"/>
    <row r="372" s="3" customFormat="1" ht="12.75" customHeight="1" x14ac:dyDescent="0.2"/>
    <row r="373" s="3" customFormat="1" ht="12.75" customHeight="1" x14ac:dyDescent="0.2"/>
    <row r="374" s="3" customFormat="1" ht="12.75" customHeight="1" x14ac:dyDescent="0.2"/>
    <row r="375" s="3" customFormat="1" ht="12.75" customHeight="1" x14ac:dyDescent="0.2"/>
    <row r="376" s="3" customFormat="1" ht="12.75" customHeight="1" x14ac:dyDescent="0.2"/>
    <row r="377" s="3" customFormat="1" ht="12.75" customHeight="1" x14ac:dyDescent="0.2"/>
    <row r="378" s="3" customFormat="1" ht="12.75" customHeight="1" x14ac:dyDescent="0.2"/>
    <row r="379" s="3" customFormat="1" ht="12.75" customHeight="1" x14ac:dyDescent="0.2"/>
    <row r="380" s="3" customFormat="1" ht="12.75" customHeight="1" x14ac:dyDescent="0.2"/>
    <row r="381" s="3" customFormat="1" ht="12.75" customHeight="1" x14ac:dyDescent="0.2"/>
    <row r="382" s="3" customFormat="1" ht="12.75" customHeight="1" x14ac:dyDescent="0.2"/>
    <row r="383" s="3" customFormat="1" ht="12.75" customHeight="1" x14ac:dyDescent="0.2"/>
    <row r="384" s="3" customFormat="1" ht="12.75" customHeight="1" x14ac:dyDescent="0.2"/>
    <row r="385" s="3" customFormat="1" ht="12.75" customHeight="1" x14ac:dyDescent="0.2"/>
    <row r="386" s="3" customFormat="1" ht="12.75" customHeight="1" x14ac:dyDescent="0.2"/>
    <row r="387" s="3" customFormat="1" ht="12.75" customHeight="1" x14ac:dyDescent="0.2"/>
    <row r="388" s="3" customFormat="1" ht="12.75" customHeight="1" x14ac:dyDescent="0.2"/>
    <row r="389" s="3" customFormat="1" ht="12.75" customHeight="1" x14ac:dyDescent="0.2"/>
    <row r="390" s="3" customFormat="1" ht="12.75" customHeight="1" x14ac:dyDescent="0.2"/>
    <row r="391" s="3" customFormat="1" ht="12.75" customHeight="1" x14ac:dyDescent="0.2"/>
    <row r="392" s="3" customFormat="1" ht="12.75" customHeight="1" x14ac:dyDescent="0.2"/>
    <row r="393" s="3" customFormat="1" ht="12.75" customHeight="1" x14ac:dyDescent="0.2"/>
    <row r="394" s="3" customFormat="1" ht="12.75" customHeight="1" x14ac:dyDescent="0.2"/>
    <row r="395" s="3" customFormat="1" ht="12.75" customHeight="1" x14ac:dyDescent="0.2"/>
    <row r="396" s="3" customFormat="1" ht="12.75" customHeight="1" x14ac:dyDescent="0.2"/>
    <row r="397" s="3" customFormat="1" ht="12.75" customHeight="1" x14ac:dyDescent="0.2"/>
    <row r="398" s="3" customFormat="1" ht="12.75" customHeight="1" x14ac:dyDescent="0.2"/>
    <row r="399" s="3" customFormat="1" ht="12.75" customHeight="1" x14ac:dyDescent="0.2"/>
    <row r="400" s="3" customFormat="1" ht="12.75" customHeight="1" x14ac:dyDescent="0.2"/>
    <row r="401" s="3" customFormat="1" ht="12.75" customHeight="1" x14ac:dyDescent="0.2"/>
    <row r="402" s="3" customFormat="1" ht="12.75" customHeight="1" x14ac:dyDescent="0.2"/>
    <row r="403" s="3" customFormat="1" ht="12.75" customHeight="1" x14ac:dyDescent="0.2"/>
    <row r="404" s="3" customFormat="1" ht="12.75" customHeight="1" x14ac:dyDescent="0.2"/>
    <row r="405" s="3" customFormat="1" ht="12.75" customHeight="1" x14ac:dyDescent="0.2"/>
    <row r="406" s="3" customFormat="1" ht="12.75" customHeight="1" x14ac:dyDescent="0.2"/>
    <row r="407" s="3" customFormat="1" ht="12.75" customHeight="1" x14ac:dyDescent="0.2"/>
    <row r="408" s="3" customFormat="1" ht="12.75" customHeight="1" x14ac:dyDescent="0.2"/>
    <row r="409" s="3" customFormat="1" ht="12.75" customHeight="1" x14ac:dyDescent="0.2"/>
    <row r="410" s="3" customFormat="1" ht="12.75" customHeight="1" x14ac:dyDescent="0.2"/>
    <row r="411" s="3" customFormat="1" ht="12.75" customHeight="1" x14ac:dyDescent="0.2"/>
    <row r="412" s="3" customFormat="1" ht="12.75" customHeight="1" x14ac:dyDescent="0.2"/>
    <row r="413" s="3" customFormat="1" ht="12.75" customHeight="1" x14ac:dyDescent="0.2"/>
    <row r="414" s="3" customFormat="1" ht="12.75" customHeight="1" x14ac:dyDescent="0.2"/>
    <row r="415" s="3" customFormat="1" ht="12.75" customHeight="1" x14ac:dyDescent="0.2"/>
    <row r="416" s="3" customFormat="1" ht="12.75" customHeight="1" x14ac:dyDescent="0.2"/>
    <row r="417" s="3" customFormat="1" ht="12.75" customHeight="1" x14ac:dyDescent="0.2"/>
    <row r="418" s="3" customFormat="1" ht="12.75" customHeight="1" x14ac:dyDescent="0.2"/>
    <row r="419" s="3" customFormat="1" ht="12.75" customHeight="1" x14ac:dyDescent="0.2"/>
    <row r="420" s="3" customFormat="1" ht="12.75" customHeight="1" x14ac:dyDescent="0.2"/>
    <row r="421" s="3" customFormat="1" ht="12.75" customHeight="1" x14ac:dyDescent="0.2"/>
    <row r="422" s="3" customFormat="1" ht="12.75" customHeight="1" x14ac:dyDescent="0.2"/>
    <row r="423" s="3" customFormat="1" ht="12.75" customHeight="1" x14ac:dyDescent="0.2"/>
    <row r="424" s="3" customFormat="1" ht="12.75" customHeight="1" x14ac:dyDescent="0.2"/>
    <row r="425" s="3" customFormat="1" ht="12.75" customHeight="1" x14ac:dyDescent="0.2"/>
    <row r="426" s="3" customFormat="1" ht="12.75" customHeight="1" x14ac:dyDescent="0.2"/>
    <row r="427" s="3" customFormat="1" ht="12.75" customHeight="1" x14ac:dyDescent="0.2"/>
    <row r="428" s="3" customFormat="1" ht="12.75" customHeight="1" x14ac:dyDescent="0.2"/>
    <row r="429" s="3" customFormat="1" ht="12.75" customHeight="1" x14ac:dyDescent="0.2"/>
    <row r="430" s="3" customFormat="1" ht="12.75" customHeight="1" x14ac:dyDescent="0.2"/>
    <row r="431" s="3" customFormat="1" ht="12.75" customHeight="1" x14ac:dyDescent="0.2"/>
    <row r="432" s="3" customFormat="1" ht="12.75" customHeight="1" x14ac:dyDescent="0.2"/>
    <row r="433" s="3" customFormat="1" ht="12.75" customHeight="1" x14ac:dyDescent="0.2"/>
    <row r="434" s="3" customFormat="1" ht="12.75" customHeight="1" x14ac:dyDescent="0.2"/>
    <row r="435" s="3" customFormat="1" ht="12.75" customHeight="1" x14ac:dyDescent="0.2"/>
    <row r="436" s="3" customFormat="1" ht="12.75" customHeight="1" x14ac:dyDescent="0.2"/>
    <row r="437" s="3" customFormat="1" ht="12.75" customHeight="1" x14ac:dyDescent="0.2"/>
    <row r="438" s="3" customFormat="1" ht="12.75" customHeight="1" x14ac:dyDescent="0.2"/>
    <row r="439" s="3" customFormat="1" ht="12.75" customHeight="1" x14ac:dyDescent="0.2"/>
    <row r="440" s="3" customFormat="1" ht="12.75" customHeight="1" x14ac:dyDescent="0.2"/>
    <row r="441" s="3" customFormat="1" ht="12.75" customHeight="1" x14ac:dyDescent="0.2"/>
    <row r="442" s="3" customFormat="1" ht="12.75" customHeight="1" x14ac:dyDescent="0.2"/>
    <row r="443" s="3" customFormat="1" ht="12.75" customHeight="1" x14ac:dyDescent="0.2"/>
    <row r="444" s="3" customFormat="1" ht="12.75" customHeight="1" x14ac:dyDescent="0.2"/>
    <row r="445" s="3" customFormat="1" ht="12.75" customHeight="1" x14ac:dyDescent="0.2"/>
    <row r="446" s="3" customFormat="1" ht="12.75" customHeight="1" x14ac:dyDescent="0.2"/>
    <row r="447" s="3" customFormat="1" ht="12.75" customHeight="1" x14ac:dyDescent="0.2"/>
    <row r="448" s="3" customFormat="1" ht="12.75" customHeight="1" x14ac:dyDescent="0.2"/>
    <row r="449" s="3" customFormat="1" ht="12.75" customHeight="1" x14ac:dyDescent="0.2"/>
    <row r="450" s="3" customFormat="1" ht="12.75" customHeight="1" x14ac:dyDescent="0.2"/>
    <row r="451" s="3" customFormat="1" ht="12.75" customHeight="1" x14ac:dyDescent="0.2"/>
    <row r="452" s="3" customFormat="1" ht="12.75" customHeight="1" x14ac:dyDescent="0.2"/>
    <row r="453" s="3" customFormat="1" ht="12.75" customHeight="1" x14ac:dyDescent="0.2"/>
    <row r="454" s="3" customFormat="1" ht="12.75" customHeight="1" x14ac:dyDescent="0.2"/>
    <row r="455" s="3" customFormat="1" ht="12.75" customHeight="1" x14ac:dyDescent="0.2"/>
    <row r="456" s="3" customFormat="1" ht="12.75" customHeight="1" x14ac:dyDescent="0.2"/>
    <row r="457" s="3" customFormat="1" ht="12.75" customHeight="1" x14ac:dyDescent="0.2"/>
    <row r="458" s="3" customFormat="1" ht="12.75" customHeight="1" x14ac:dyDescent="0.2"/>
    <row r="459" s="3" customFormat="1" ht="12.75" customHeight="1" x14ac:dyDescent="0.2"/>
    <row r="460" s="3" customFormat="1" ht="12.75" customHeight="1" x14ac:dyDescent="0.2"/>
    <row r="461" s="3" customFormat="1" ht="12.75" customHeight="1" x14ac:dyDescent="0.2"/>
    <row r="462" s="3" customFormat="1" ht="12.75" customHeight="1" x14ac:dyDescent="0.2"/>
    <row r="463" s="3" customFormat="1" ht="12.75" customHeight="1" x14ac:dyDescent="0.2"/>
    <row r="464" s="3" customFormat="1" ht="12.75" customHeight="1" x14ac:dyDescent="0.2"/>
    <row r="465" s="3" customFormat="1" ht="12.75" customHeight="1" x14ac:dyDescent="0.2"/>
    <row r="466" s="3" customFormat="1" ht="12.75" customHeight="1" x14ac:dyDescent="0.2"/>
    <row r="467" s="3" customFormat="1" ht="12.75" customHeight="1" x14ac:dyDescent="0.2"/>
    <row r="468" s="3" customFormat="1" ht="12.75" customHeight="1" x14ac:dyDescent="0.2"/>
    <row r="469" s="3" customFormat="1" ht="12.75" customHeight="1" x14ac:dyDescent="0.2"/>
    <row r="470" s="3" customFormat="1" ht="12.75" customHeight="1" x14ac:dyDescent="0.2"/>
    <row r="471" s="3" customFormat="1" ht="12.75" customHeight="1" x14ac:dyDescent="0.2"/>
    <row r="472" s="3" customFormat="1" ht="12.75" customHeight="1" x14ac:dyDescent="0.2"/>
    <row r="473" s="3" customFormat="1" ht="12.75" customHeight="1" x14ac:dyDescent="0.2"/>
    <row r="474" s="3" customFormat="1" ht="12.75" customHeight="1" x14ac:dyDescent="0.2"/>
    <row r="475" s="3" customFormat="1" ht="12.75" customHeight="1" x14ac:dyDescent="0.2"/>
    <row r="476" s="3" customFormat="1" ht="12.75" customHeight="1" x14ac:dyDescent="0.2"/>
    <row r="477" s="3" customFormat="1" ht="12.75" customHeight="1" x14ac:dyDescent="0.2"/>
    <row r="478" s="3" customFormat="1" ht="12.75" customHeight="1" x14ac:dyDescent="0.2"/>
    <row r="479" s="3" customFormat="1" ht="12.75" customHeight="1" x14ac:dyDescent="0.2"/>
    <row r="480" s="3" customFormat="1" ht="12.75" customHeight="1" x14ac:dyDescent="0.2"/>
    <row r="481" s="3" customFormat="1" ht="12.75" customHeight="1" x14ac:dyDescent="0.2"/>
    <row r="482" s="3" customFormat="1" ht="12.75" customHeight="1" x14ac:dyDescent="0.2"/>
    <row r="483" s="3" customFormat="1" ht="12.75" customHeight="1" x14ac:dyDescent="0.2"/>
    <row r="484" s="3" customFormat="1" ht="12.75" customHeight="1" x14ac:dyDescent="0.2"/>
    <row r="485" s="3" customFormat="1" ht="12.75" customHeight="1" x14ac:dyDescent="0.2"/>
    <row r="486" s="3" customFormat="1" ht="12.75" customHeight="1" x14ac:dyDescent="0.2"/>
    <row r="487" s="3" customFormat="1" ht="12.75" customHeight="1" x14ac:dyDescent="0.2"/>
    <row r="488" s="3" customFormat="1" ht="12.75" customHeight="1" x14ac:dyDescent="0.2"/>
    <row r="489" s="3" customFormat="1" ht="12.75" customHeight="1" x14ac:dyDescent="0.2"/>
    <row r="490" s="3" customFormat="1" ht="12.75" customHeight="1" x14ac:dyDescent="0.2"/>
    <row r="491" s="3" customFormat="1" ht="12.75" customHeight="1" x14ac:dyDescent="0.2"/>
    <row r="492" s="3" customFormat="1" ht="12.75" customHeight="1" x14ac:dyDescent="0.2"/>
    <row r="493" s="3" customFormat="1" ht="12.75" customHeight="1" x14ac:dyDescent="0.2"/>
    <row r="494" s="3" customFormat="1" ht="12.75" customHeight="1" x14ac:dyDescent="0.2"/>
    <row r="495" s="3" customFormat="1" ht="12.75" customHeight="1" x14ac:dyDescent="0.2"/>
    <row r="496" s="3" customFormat="1" ht="12.75" customHeight="1" x14ac:dyDescent="0.2"/>
    <row r="497" s="3" customFormat="1" ht="12.75" customHeight="1" x14ac:dyDescent="0.2"/>
    <row r="498" s="3" customFormat="1" ht="12.75" customHeight="1" x14ac:dyDescent="0.2"/>
    <row r="499" s="3" customFormat="1" ht="12.75" customHeight="1" x14ac:dyDescent="0.2"/>
    <row r="500" s="3" customFormat="1" ht="12.75" customHeight="1" x14ac:dyDescent="0.2"/>
    <row r="501" s="3" customFormat="1" ht="12.75" customHeight="1" x14ac:dyDescent="0.2"/>
    <row r="502" s="3" customFormat="1" ht="12.75" customHeight="1" x14ac:dyDescent="0.2"/>
    <row r="503" s="3" customFormat="1" ht="12.75" customHeight="1" x14ac:dyDescent="0.2"/>
    <row r="504" s="3" customFormat="1" ht="12.75" customHeight="1" x14ac:dyDescent="0.2"/>
    <row r="505" s="3" customFormat="1" ht="12.75" customHeight="1" x14ac:dyDescent="0.2"/>
    <row r="506" s="3" customFormat="1" ht="12.75" customHeight="1" x14ac:dyDescent="0.2"/>
    <row r="507" s="3" customFormat="1" ht="12.75" customHeight="1" x14ac:dyDescent="0.2"/>
    <row r="508" s="3" customFormat="1" ht="12.75" customHeight="1" x14ac:dyDescent="0.2"/>
    <row r="509" s="3" customFormat="1" ht="12.75" customHeight="1" x14ac:dyDescent="0.2"/>
    <row r="510" s="3" customFormat="1" ht="12.75" customHeight="1" x14ac:dyDescent="0.2"/>
    <row r="511" s="3" customFormat="1" ht="12.75" customHeight="1" x14ac:dyDescent="0.2"/>
    <row r="512" s="3" customFormat="1" ht="12.75" customHeight="1" x14ac:dyDescent="0.2"/>
    <row r="513" s="3" customFormat="1" ht="12.75" customHeight="1" x14ac:dyDescent="0.2"/>
    <row r="514" s="3" customFormat="1" ht="12.75" customHeight="1" x14ac:dyDescent="0.2"/>
    <row r="515" s="3" customFormat="1" ht="12.75" customHeight="1" x14ac:dyDescent="0.2"/>
    <row r="516" s="3" customFormat="1" ht="12.75" customHeight="1" x14ac:dyDescent="0.2"/>
    <row r="517" s="3" customFormat="1" ht="12.75" customHeight="1" x14ac:dyDescent="0.2"/>
    <row r="518" s="3" customFormat="1" ht="12.75" customHeight="1" x14ac:dyDescent="0.2"/>
    <row r="519" s="3" customFormat="1" ht="12.75" customHeight="1" x14ac:dyDescent="0.2"/>
    <row r="520" s="3" customFormat="1" ht="12.75" customHeight="1" x14ac:dyDescent="0.2"/>
    <row r="521" s="3" customFormat="1" ht="12.75" customHeight="1" x14ac:dyDescent="0.2"/>
    <row r="522" s="3" customFormat="1" ht="12.75" customHeight="1" x14ac:dyDescent="0.2"/>
    <row r="523" s="3" customFormat="1" ht="12.75" customHeight="1" x14ac:dyDescent="0.2"/>
    <row r="524" s="3" customFormat="1" ht="12.75" customHeight="1" x14ac:dyDescent="0.2"/>
    <row r="525" s="3" customFormat="1" ht="12.75" customHeight="1" x14ac:dyDescent="0.2"/>
    <row r="526" s="3" customFormat="1" ht="12.75" customHeight="1" x14ac:dyDescent="0.2"/>
    <row r="527" s="3" customFormat="1" ht="12.75" customHeight="1" x14ac:dyDescent="0.2"/>
    <row r="528" s="3" customFormat="1" ht="12.75" customHeight="1" x14ac:dyDescent="0.2"/>
    <row r="529" s="3" customFormat="1" ht="12.75" customHeight="1" x14ac:dyDescent="0.2"/>
    <row r="530" s="3" customFormat="1" ht="12.75" customHeight="1" x14ac:dyDescent="0.2"/>
    <row r="531" s="3" customFormat="1" ht="12.75" customHeight="1" x14ac:dyDescent="0.2"/>
    <row r="532" s="3" customFormat="1" ht="12.75" customHeight="1" x14ac:dyDescent="0.2"/>
    <row r="533" s="3" customFormat="1" ht="12.75" customHeight="1" x14ac:dyDescent="0.2"/>
    <row r="534" s="3" customFormat="1" ht="12.75" customHeight="1" x14ac:dyDescent="0.2"/>
    <row r="535" s="3" customFormat="1" ht="12.75" customHeight="1" x14ac:dyDescent="0.2"/>
    <row r="536" s="3" customFormat="1" ht="12.75" customHeight="1" x14ac:dyDescent="0.2"/>
    <row r="537" s="3" customFormat="1" ht="12.75" customHeight="1" x14ac:dyDescent="0.2"/>
    <row r="538" s="3" customFormat="1" ht="12.75" customHeight="1" x14ac:dyDescent="0.2"/>
    <row r="539" s="3" customFormat="1" ht="12.75" customHeight="1" x14ac:dyDescent="0.2"/>
    <row r="540" s="3" customFormat="1" ht="12.75" customHeight="1" x14ac:dyDescent="0.2"/>
    <row r="541" s="3" customFormat="1" ht="12.75" customHeight="1" x14ac:dyDescent="0.2"/>
    <row r="542" s="3" customFormat="1" ht="12.75" customHeight="1" x14ac:dyDescent="0.2"/>
    <row r="543" s="3" customFormat="1" ht="12.75" customHeight="1" x14ac:dyDescent="0.2"/>
    <row r="544" s="3" customFormat="1" ht="12.75" customHeight="1" x14ac:dyDescent="0.2"/>
    <row r="545" s="3" customFormat="1" ht="12.75" customHeight="1" x14ac:dyDescent="0.2"/>
    <row r="546" s="3" customFormat="1" ht="12.75" customHeight="1" x14ac:dyDescent="0.2"/>
    <row r="547" s="3" customFormat="1" ht="12.75" customHeight="1" x14ac:dyDescent="0.2"/>
    <row r="548" s="3" customFormat="1" ht="12.75" customHeight="1" x14ac:dyDescent="0.2"/>
    <row r="549" s="3" customFormat="1" ht="12.75" customHeight="1" x14ac:dyDescent="0.2"/>
    <row r="550" s="3" customFormat="1" ht="12.75" customHeight="1" x14ac:dyDescent="0.2"/>
    <row r="551" s="3" customFormat="1" ht="12.75" customHeight="1" x14ac:dyDescent="0.2"/>
    <row r="552" s="3" customFormat="1" ht="12.75" customHeight="1" x14ac:dyDescent="0.2"/>
    <row r="553" s="3" customFormat="1" ht="12.75" customHeight="1" x14ac:dyDescent="0.2"/>
    <row r="554" s="3" customFormat="1" ht="12.75" customHeight="1" x14ac:dyDescent="0.2"/>
    <row r="555" s="3" customFormat="1" ht="12.75" customHeight="1" x14ac:dyDescent="0.2"/>
    <row r="556" s="3" customFormat="1" ht="12.75" customHeight="1" x14ac:dyDescent="0.2"/>
    <row r="557" s="3" customFormat="1" ht="12.75" customHeight="1" x14ac:dyDescent="0.2"/>
    <row r="558" s="3" customFormat="1" ht="12.75" customHeight="1" x14ac:dyDescent="0.2"/>
    <row r="559" s="3" customFormat="1" ht="12.75" customHeight="1" x14ac:dyDescent="0.2"/>
    <row r="560" s="3" customFormat="1" ht="12.75" customHeight="1" x14ac:dyDescent="0.2"/>
    <row r="561" s="3" customFormat="1" ht="12.75" customHeight="1" x14ac:dyDescent="0.2"/>
    <row r="562" s="3" customFormat="1" ht="12.75" customHeight="1" x14ac:dyDescent="0.2"/>
    <row r="563" s="3" customFormat="1" ht="12.75" customHeight="1" x14ac:dyDescent="0.2"/>
    <row r="564" s="3" customFormat="1" ht="12.75" customHeight="1" x14ac:dyDescent="0.2"/>
    <row r="565" s="3" customFormat="1" ht="12.75" customHeight="1" x14ac:dyDescent="0.2"/>
    <row r="566" s="3" customFormat="1" ht="12.75" customHeight="1" x14ac:dyDescent="0.2"/>
    <row r="567" s="3" customFormat="1" ht="12.75" customHeight="1" x14ac:dyDescent="0.2"/>
    <row r="568" s="3" customFormat="1" ht="12.75" customHeight="1" x14ac:dyDescent="0.2"/>
    <row r="569" s="3" customFormat="1" ht="12.75" customHeight="1" x14ac:dyDescent="0.2"/>
    <row r="570" s="3" customFormat="1" ht="12.75" customHeight="1" x14ac:dyDescent="0.2"/>
    <row r="571" s="3" customFormat="1" ht="12.75" customHeight="1" x14ac:dyDescent="0.2"/>
    <row r="572" s="3" customFormat="1" ht="12.75" customHeight="1" x14ac:dyDescent="0.2"/>
    <row r="573" s="3" customFormat="1" ht="12.75" customHeight="1" x14ac:dyDescent="0.2"/>
    <row r="574" s="3" customFormat="1" ht="12.75" customHeight="1" x14ac:dyDescent="0.2"/>
    <row r="575" s="3" customFormat="1" ht="12.75" customHeight="1" x14ac:dyDescent="0.2"/>
    <row r="576" s="3" customFormat="1" ht="12.75" customHeight="1" x14ac:dyDescent="0.2"/>
    <row r="577" s="3" customFormat="1" ht="12.75" customHeight="1" x14ac:dyDescent="0.2"/>
    <row r="578" s="3" customFormat="1" ht="12.75" customHeight="1" x14ac:dyDescent="0.2"/>
    <row r="579" s="3" customFormat="1" ht="12.75" customHeight="1" x14ac:dyDescent="0.2"/>
    <row r="580" s="3" customFormat="1" ht="12.75" customHeight="1" x14ac:dyDescent="0.2"/>
    <row r="581" s="3" customFormat="1" ht="12.75" customHeight="1" x14ac:dyDescent="0.2"/>
    <row r="582" s="3" customFormat="1" ht="12.75" customHeight="1" x14ac:dyDescent="0.2"/>
    <row r="583" s="3" customFormat="1" ht="12.75" customHeight="1" x14ac:dyDescent="0.2"/>
    <row r="584" s="3" customFormat="1" ht="12.75" customHeight="1" x14ac:dyDescent="0.2"/>
    <row r="585" s="3" customFormat="1" ht="12.75" customHeight="1" x14ac:dyDescent="0.2"/>
    <row r="586" s="3" customFormat="1" ht="12.75" customHeight="1" x14ac:dyDescent="0.2"/>
    <row r="587" s="3" customFormat="1" ht="12.75" customHeight="1" x14ac:dyDescent="0.2"/>
    <row r="588" s="3" customFormat="1" ht="12.75" customHeight="1" x14ac:dyDescent="0.2"/>
    <row r="589" s="3" customFormat="1" ht="12.75" customHeight="1" x14ac:dyDescent="0.2"/>
    <row r="590" s="3" customFormat="1" ht="12.75" customHeight="1" x14ac:dyDescent="0.2"/>
    <row r="591" s="3" customFormat="1" ht="12.75" customHeight="1" x14ac:dyDescent="0.2"/>
    <row r="592" s="3" customFormat="1" ht="12.75" customHeight="1" x14ac:dyDescent="0.2"/>
    <row r="593" s="3" customFormat="1" ht="12.75" customHeight="1" x14ac:dyDescent="0.2"/>
    <row r="594" s="3" customFormat="1" ht="12.75" customHeight="1" x14ac:dyDescent="0.2"/>
    <row r="595" s="3" customFormat="1" ht="12.75" customHeight="1" x14ac:dyDescent="0.2"/>
    <row r="596" s="3" customFormat="1" ht="12.75" customHeight="1" x14ac:dyDescent="0.2"/>
    <row r="597" s="3" customFormat="1" ht="12.75" customHeight="1" x14ac:dyDescent="0.2"/>
    <row r="598" s="3" customFormat="1" ht="12.75" customHeight="1" x14ac:dyDescent="0.2"/>
    <row r="599" s="3" customFormat="1" ht="12.75" customHeight="1" x14ac:dyDescent="0.2"/>
    <row r="600" s="3" customFormat="1" ht="12.75" customHeight="1" x14ac:dyDescent="0.2"/>
    <row r="601" s="3" customFormat="1" ht="12.75" customHeight="1" x14ac:dyDescent="0.2"/>
    <row r="602" s="3" customFormat="1" ht="12.75" customHeight="1" x14ac:dyDescent="0.2"/>
    <row r="603" s="3" customFormat="1" ht="12.75" customHeight="1" x14ac:dyDescent="0.2"/>
    <row r="604" s="3" customFormat="1" ht="12.75" customHeight="1" x14ac:dyDescent="0.2"/>
    <row r="605" s="3" customFormat="1" ht="12.75" customHeight="1" x14ac:dyDescent="0.2"/>
    <row r="606" s="3" customFormat="1" ht="12.75" customHeight="1" x14ac:dyDescent="0.2"/>
    <row r="607" s="3" customFormat="1" ht="12.75" customHeight="1" x14ac:dyDescent="0.2"/>
    <row r="608" s="3" customFormat="1" ht="12.75" customHeight="1" x14ac:dyDescent="0.2"/>
    <row r="609" s="3" customFormat="1" ht="12.75" customHeight="1" x14ac:dyDescent="0.2"/>
    <row r="610" s="3" customFormat="1" ht="12.75" customHeight="1" x14ac:dyDescent="0.2"/>
    <row r="611" s="3" customFormat="1" ht="12.75" customHeight="1" x14ac:dyDescent="0.2"/>
    <row r="612" s="3" customFormat="1" ht="12.75" customHeight="1" x14ac:dyDescent="0.2"/>
    <row r="613" s="3" customFormat="1" ht="12.75" customHeight="1" x14ac:dyDescent="0.2"/>
    <row r="614" s="3" customFormat="1" ht="12.75" customHeight="1" x14ac:dyDescent="0.2"/>
    <row r="615" s="3" customFormat="1" ht="12.75" customHeight="1" x14ac:dyDescent="0.2"/>
    <row r="616" s="3" customFormat="1" ht="12.75" customHeight="1" x14ac:dyDescent="0.2"/>
    <row r="617" s="3" customFormat="1" ht="12.75" customHeight="1" x14ac:dyDescent="0.2"/>
    <row r="618" s="3" customFormat="1" ht="12.75" customHeight="1" x14ac:dyDescent="0.2"/>
    <row r="619" s="3" customFormat="1" ht="12.75" customHeight="1" x14ac:dyDescent="0.2"/>
    <row r="620" s="3" customFormat="1" ht="12.75" customHeight="1" x14ac:dyDescent="0.2"/>
    <row r="621" s="3" customFormat="1" ht="12.75" customHeight="1" x14ac:dyDescent="0.2"/>
    <row r="622" s="3" customFormat="1" ht="12.75" customHeight="1" x14ac:dyDescent="0.2"/>
    <row r="623" s="3" customFormat="1" ht="12.75" customHeight="1" x14ac:dyDescent="0.2"/>
    <row r="624" s="3" customFormat="1" ht="12.75" customHeight="1" x14ac:dyDescent="0.2"/>
    <row r="625" s="3" customFormat="1" ht="12.75" customHeight="1" x14ac:dyDescent="0.2"/>
    <row r="626" s="3" customFormat="1" ht="12.75" customHeight="1" x14ac:dyDescent="0.2"/>
    <row r="627" s="3" customFormat="1" ht="12.75" customHeight="1" x14ac:dyDescent="0.2"/>
    <row r="628" s="3" customFormat="1" ht="12.75" customHeight="1" x14ac:dyDescent="0.2"/>
    <row r="629" s="3" customFormat="1" ht="12.75" customHeight="1" x14ac:dyDescent="0.2"/>
    <row r="630" s="3" customFormat="1" ht="12.75" customHeight="1" x14ac:dyDescent="0.2"/>
    <row r="631" s="3" customFormat="1" ht="12.75" customHeight="1" x14ac:dyDescent="0.2"/>
    <row r="632" s="3" customFormat="1" ht="12.75" customHeight="1" x14ac:dyDescent="0.2"/>
    <row r="633" s="3" customFormat="1" ht="12.75" customHeight="1" x14ac:dyDescent="0.2"/>
    <row r="634" s="3" customFormat="1" ht="12.75" customHeight="1" x14ac:dyDescent="0.2"/>
    <row r="635" s="3" customFormat="1" ht="12.75" customHeight="1" x14ac:dyDescent="0.2"/>
    <row r="636" s="3" customFormat="1" ht="12.75" customHeight="1" x14ac:dyDescent="0.2"/>
    <row r="637" s="3" customFormat="1" ht="12.75" customHeight="1" x14ac:dyDescent="0.2"/>
    <row r="638" s="3" customFormat="1" ht="12.75" customHeight="1" x14ac:dyDescent="0.2"/>
    <row r="639" s="3" customFormat="1" ht="12.75" customHeight="1" x14ac:dyDescent="0.2"/>
    <row r="640" s="3" customFormat="1" ht="12.75" customHeight="1" x14ac:dyDescent="0.2"/>
    <row r="641" s="3" customFormat="1" ht="12.75" customHeight="1" x14ac:dyDescent="0.2"/>
    <row r="642" s="3" customFormat="1" ht="12.75" customHeight="1" x14ac:dyDescent="0.2"/>
    <row r="643" s="3" customFormat="1" ht="12.75" customHeight="1" x14ac:dyDescent="0.2"/>
    <row r="644" s="3" customFormat="1" ht="12.75" customHeight="1" x14ac:dyDescent="0.2"/>
    <row r="645" s="3" customFormat="1" ht="12.75" customHeight="1" x14ac:dyDescent="0.2"/>
    <row r="646" s="3" customFormat="1" ht="12.75" customHeight="1" x14ac:dyDescent="0.2"/>
    <row r="647" s="3" customFormat="1" ht="12.75" customHeight="1" x14ac:dyDescent="0.2"/>
    <row r="648" s="3" customFormat="1" ht="12.75" customHeight="1" x14ac:dyDescent="0.2"/>
    <row r="649" s="3" customFormat="1" ht="12.75" customHeight="1" x14ac:dyDescent="0.2"/>
    <row r="650" s="3" customFormat="1" ht="12.75" customHeight="1" x14ac:dyDescent="0.2"/>
    <row r="651" s="3" customFormat="1" ht="12.75" customHeight="1" x14ac:dyDescent="0.2"/>
    <row r="652" s="3" customFormat="1" ht="12.75" customHeight="1" x14ac:dyDescent="0.2"/>
    <row r="653" s="3" customFormat="1" ht="12.75" customHeight="1" x14ac:dyDescent="0.2"/>
    <row r="654" s="3" customFormat="1" ht="12.75" customHeight="1" x14ac:dyDescent="0.2"/>
    <row r="655" s="3" customFormat="1" ht="12.75" customHeight="1" x14ac:dyDescent="0.2"/>
    <row r="656" s="3" customFormat="1" ht="12.75" customHeight="1" x14ac:dyDescent="0.2"/>
    <row r="657" s="3" customFormat="1" ht="12.75" customHeight="1" x14ac:dyDescent="0.2"/>
    <row r="658" s="3" customFormat="1" ht="12.75" customHeight="1" x14ac:dyDescent="0.2"/>
    <row r="659" s="3" customFormat="1" ht="12.75" customHeight="1" x14ac:dyDescent="0.2"/>
    <row r="660" s="3" customFormat="1" ht="12.75" customHeight="1" x14ac:dyDescent="0.2"/>
    <row r="661" s="3" customFormat="1" ht="12.75" customHeight="1" x14ac:dyDescent="0.2"/>
    <row r="662" s="3" customFormat="1" ht="12.75" customHeight="1" x14ac:dyDescent="0.2"/>
    <row r="663" s="3" customFormat="1" ht="12.75" customHeight="1" x14ac:dyDescent="0.2"/>
    <row r="664" s="3" customFormat="1" ht="12.75" customHeight="1" x14ac:dyDescent="0.2"/>
    <row r="665" s="3" customFormat="1" ht="12.75" customHeight="1" x14ac:dyDescent="0.2"/>
    <row r="666" s="3" customFormat="1" ht="12.75" customHeight="1" x14ac:dyDescent="0.2"/>
    <row r="667" s="3" customFormat="1" ht="12.75" customHeight="1" x14ac:dyDescent="0.2"/>
    <row r="668" s="3" customFormat="1" ht="12.75" customHeight="1" x14ac:dyDescent="0.2"/>
    <row r="669" s="3" customFormat="1" ht="12.75" customHeight="1" x14ac:dyDescent="0.2"/>
    <row r="670" s="3" customFormat="1" ht="12.75" customHeight="1" x14ac:dyDescent="0.2"/>
    <row r="671" s="3" customFormat="1" ht="12.75" customHeight="1" x14ac:dyDescent="0.2"/>
    <row r="672" s="3" customFormat="1" ht="12.75" customHeight="1" x14ac:dyDescent="0.2"/>
    <row r="673" s="3" customFormat="1" ht="12.75" customHeight="1" x14ac:dyDescent="0.2"/>
    <row r="674" s="3" customFormat="1" ht="12.75" customHeight="1" x14ac:dyDescent="0.2"/>
    <row r="675" s="3" customFormat="1" ht="12.75" customHeight="1" x14ac:dyDescent="0.2"/>
    <row r="676" s="3" customFormat="1" ht="12.75" customHeight="1" x14ac:dyDescent="0.2"/>
    <row r="677" s="3" customFormat="1" ht="12.75" customHeight="1" x14ac:dyDescent="0.2"/>
    <row r="678" s="3" customFormat="1" ht="12.75" customHeight="1" x14ac:dyDescent="0.2"/>
    <row r="679" s="3" customFormat="1" ht="12.75" customHeight="1" x14ac:dyDescent="0.2"/>
    <row r="680" s="3" customFormat="1" ht="12.75" customHeight="1" x14ac:dyDescent="0.2"/>
    <row r="681" s="3" customFormat="1" ht="12.75" customHeight="1" x14ac:dyDescent="0.2"/>
    <row r="682" s="3" customFormat="1" ht="12.75" customHeight="1" x14ac:dyDescent="0.2"/>
    <row r="683" s="3" customFormat="1" ht="12.75" customHeight="1" x14ac:dyDescent="0.2"/>
    <row r="684" s="3" customFormat="1" ht="12.75" customHeight="1" x14ac:dyDescent="0.2"/>
    <row r="685" s="3" customFormat="1" ht="12.75" customHeight="1" x14ac:dyDescent="0.2"/>
    <row r="686" s="3" customFormat="1" ht="12.75" customHeight="1" x14ac:dyDescent="0.2"/>
    <row r="687" s="3" customFormat="1" ht="12.75" customHeight="1" x14ac:dyDescent="0.2"/>
    <row r="688" s="3" customFormat="1" ht="12.75" customHeight="1" x14ac:dyDescent="0.2"/>
    <row r="689" s="3" customFormat="1" ht="12.75" customHeight="1" x14ac:dyDescent="0.2"/>
    <row r="690" s="3" customFormat="1" ht="12.75" customHeight="1" x14ac:dyDescent="0.2"/>
    <row r="691" s="3" customFormat="1" ht="12.75" customHeight="1" x14ac:dyDescent="0.2"/>
    <row r="692" s="3" customFormat="1" ht="12.75" customHeight="1" x14ac:dyDescent="0.2"/>
    <row r="693" s="3" customFormat="1" ht="12.75" customHeight="1" x14ac:dyDescent="0.2"/>
    <row r="694" s="3" customFormat="1" ht="12.75" customHeight="1" x14ac:dyDescent="0.2"/>
    <row r="695" s="3" customFormat="1" ht="12.75" customHeight="1" x14ac:dyDescent="0.2"/>
    <row r="696" s="3" customFormat="1" ht="12.75" customHeight="1" x14ac:dyDescent="0.2"/>
    <row r="697" s="3" customFormat="1" ht="12.75" customHeight="1" x14ac:dyDescent="0.2"/>
    <row r="698" s="3" customFormat="1" ht="12.75" customHeight="1" x14ac:dyDescent="0.2"/>
    <row r="699" s="3" customFormat="1" ht="12.75" customHeight="1" x14ac:dyDescent="0.2"/>
    <row r="700" s="3" customFormat="1" ht="12.75" customHeight="1" x14ac:dyDescent="0.2"/>
    <row r="701" s="3" customFormat="1" ht="12.75" customHeight="1" x14ac:dyDescent="0.2"/>
    <row r="702" s="3" customFormat="1" ht="12.75" customHeight="1" x14ac:dyDescent="0.2"/>
    <row r="703" s="3" customFormat="1" ht="12.75" customHeight="1" x14ac:dyDescent="0.2"/>
    <row r="704" s="3" customFormat="1" ht="12.75" customHeight="1" x14ac:dyDescent="0.2"/>
    <row r="705" s="3" customFormat="1" ht="12.75" customHeight="1" x14ac:dyDescent="0.2"/>
    <row r="706" s="3" customFormat="1" ht="12.75" customHeight="1" x14ac:dyDescent="0.2"/>
    <row r="707" s="3" customFormat="1" ht="12.75" customHeight="1" x14ac:dyDescent="0.2"/>
    <row r="708" s="3" customFormat="1" ht="12.75" customHeight="1" x14ac:dyDescent="0.2"/>
    <row r="709" s="3" customFormat="1" ht="12.75" customHeight="1" x14ac:dyDescent="0.2"/>
    <row r="710" s="3" customFormat="1" ht="12.75" customHeight="1" x14ac:dyDescent="0.2"/>
    <row r="711" s="3" customFormat="1" ht="12.75" customHeight="1" x14ac:dyDescent="0.2"/>
    <row r="712" s="3" customFormat="1" ht="12.75" customHeight="1" x14ac:dyDescent="0.2"/>
    <row r="713" s="3" customFormat="1" ht="12.75" customHeight="1" x14ac:dyDescent="0.2"/>
    <row r="714" s="3" customFormat="1" ht="12.75" customHeight="1" x14ac:dyDescent="0.2"/>
    <row r="715" s="3" customFormat="1" ht="12.75" customHeight="1" x14ac:dyDescent="0.2"/>
    <row r="716" s="3" customFormat="1" ht="12.75" customHeight="1" x14ac:dyDescent="0.2"/>
    <row r="717" s="3" customFormat="1" ht="12.75" customHeight="1" x14ac:dyDescent="0.2"/>
    <row r="718" s="3" customFormat="1" ht="12.75" customHeight="1" x14ac:dyDescent="0.2"/>
    <row r="719" s="3" customFormat="1" ht="12.75" customHeight="1" x14ac:dyDescent="0.2"/>
    <row r="720" s="3" customFormat="1" ht="12.75" customHeight="1" x14ac:dyDescent="0.2"/>
    <row r="721" s="3" customFormat="1" ht="12.75" customHeight="1" x14ac:dyDescent="0.2"/>
    <row r="722" s="3" customFormat="1" ht="12.75" customHeight="1" x14ac:dyDescent="0.2"/>
    <row r="723" s="3" customFormat="1" ht="12.75" customHeight="1" x14ac:dyDescent="0.2"/>
    <row r="724" s="3" customFormat="1" ht="12.75" customHeight="1" x14ac:dyDescent="0.2"/>
    <row r="725" s="3" customFormat="1" ht="12.75" customHeight="1" x14ac:dyDescent="0.2"/>
    <row r="726" s="3" customFormat="1" ht="12.75" customHeight="1" x14ac:dyDescent="0.2"/>
    <row r="727" s="3" customFormat="1" ht="12.75" customHeight="1" x14ac:dyDescent="0.2"/>
    <row r="728" s="3" customFormat="1" ht="12.75" customHeight="1" x14ac:dyDescent="0.2"/>
    <row r="729" s="3" customFormat="1" ht="12.75" customHeight="1" x14ac:dyDescent="0.2"/>
    <row r="730" s="3" customFormat="1" ht="12.75" customHeight="1" x14ac:dyDescent="0.2"/>
    <row r="731" s="3" customFormat="1" ht="12.75" customHeight="1" x14ac:dyDescent="0.2"/>
    <row r="732" s="3" customFormat="1" ht="12.75" customHeight="1" x14ac:dyDescent="0.2"/>
    <row r="733" s="3" customFormat="1" ht="12.75" customHeight="1" x14ac:dyDescent="0.2"/>
    <row r="734" s="3" customFormat="1" ht="12.75" customHeight="1" x14ac:dyDescent="0.2"/>
    <row r="735" s="3" customFormat="1" ht="12.75" customHeight="1" x14ac:dyDescent="0.2"/>
    <row r="736" s="3" customFormat="1" ht="12.75" customHeight="1" x14ac:dyDescent="0.2"/>
    <row r="737" s="3" customFormat="1" ht="12.75" customHeight="1" x14ac:dyDescent="0.2"/>
    <row r="738" s="3" customFormat="1" ht="12.75" customHeight="1" x14ac:dyDescent="0.2"/>
    <row r="739" s="3" customFormat="1" ht="12.75" customHeight="1" x14ac:dyDescent="0.2"/>
    <row r="740" s="3" customFormat="1" ht="12.75" customHeight="1" x14ac:dyDescent="0.2"/>
    <row r="741" s="3" customFormat="1" ht="12.75" customHeight="1" x14ac:dyDescent="0.2"/>
    <row r="742" s="3" customFormat="1" ht="12.75" customHeight="1" x14ac:dyDescent="0.2"/>
    <row r="743" s="3" customFormat="1" ht="12.75" customHeight="1" x14ac:dyDescent="0.2"/>
    <row r="744" s="3" customFormat="1" ht="12.75" customHeight="1" x14ac:dyDescent="0.2"/>
    <row r="745" s="3" customFormat="1" ht="12.75" customHeight="1" x14ac:dyDescent="0.2"/>
    <row r="746" s="3" customFormat="1" ht="12.75" customHeight="1" x14ac:dyDescent="0.2"/>
    <row r="747" s="3" customFormat="1" ht="12.75" customHeight="1" x14ac:dyDescent="0.2"/>
    <row r="748" s="3" customFormat="1" ht="12.75" customHeight="1" x14ac:dyDescent="0.2"/>
    <row r="749" s="3" customFormat="1" ht="12.75" customHeight="1" x14ac:dyDescent="0.2"/>
    <row r="750" s="3" customFormat="1" ht="12.75" customHeight="1" x14ac:dyDescent="0.2"/>
    <row r="751" s="3" customFormat="1" ht="12.75" customHeight="1" x14ac:dyDescent="0.2"/>
    <row r="752" s="3" customFormat="1" ht="12.75" customHeight="1" x14ac:dyDescent="0.2"/>
    <row r="753" s="3" customFormat="1" ht="12.75" customHeight="1" x14ac:dyDescent="0.2"/>
    <row r="754" s="3" customFormat="1" ht="12.75" customHeight="1" x14ac:dyDescent="0.2"/>
    <row r="755" s="3" customFormat="1" ht="12.75" customHeight="1" x14ac:dyDescent="0.2"/>
    <row r="756" s="3" customFormat="1" ht="12.75" customHeight="1" x14ac:dyDescent="0.2"/>
    <row r="757" s="3" customFormat="1" ht="12.75" customHeight="1" x14ac:dyDescent="0.2"/>
    <row r="758" s="3" customFormat="1" ht="12.75" customHeight="1" x14ac:dyDescent="0.2"/>
    <row r="759" s="3" customFormat="1" ht="12.75" customHeight="1" x14ac:dyDescent="0.2"/>
    <row r="760" s="3" customFormat="1" ht="12.75" customHeight="1" x14ac:dyDescent="0.2"/>
    <row r="761" s="3" customFormat="1" ht="12.75" customHeight="1" x14ac:dyDescent="0.2"/>
    <row r="762" s="3" customFormat="1" ht="12.75" customHeight="1" x14ac:dyDescent="0.2"/>
    <row r="763" s="3" customFormat="1" ht="12.75" customHeight="1" x14ac:dyDescent="0.2"/>
    <row r="764" s="3" customFormat="1" ht="12.75" customHeight="1" x14ac:dyDescent="0.2"/>
    <row r="765" s="3" customFormat="1" ht="12.75" customHeight="1" x14ac:dyDescent="0.2"/>
    <row r="766" s="3" customFormat="1" ht="12.75" customHeight="1" x14ac:dyDescent="0.2"/>
    <row r="767" s="3" customFormat="1" ht="12.75" customHeight="1" x14ac:dyDescent="0.2"/>
    <row r="768" s="3" customFormat="1" ht="12.75" customHeight="1" x14ac:dyDescent="0.2"/>
    <row r="769" s="3" customFormat="1" ht="12.75" customHeight="1" x14ac:dyDescent="0.2"/>
    <row r="770" s="3" customFormat="1" ht="12.75" customHeight="1" x14ac:dyDescent="0.2"/>
    <row r="771" s="3" customFormat="1" ht="12.75" customHeight="1" x14ac:dyDescent="0.2"/>
    <row r="772" s="3" customFormat="1" ht="12.75" customHeight="1" x14ac:dyDescent="0.2"/>
    <row r="773" s="3" customFormat="1" ht="12.75" customHeight="1" x14ac:dyDescent="0.2"/>
    <row r="774" s="3" customFormat="1" ht="12.75" customHeight="1" x14ac:dyDescent="0.2"/>
    <row r="775" s="3" customFormat="1" ht="12.75" customHeight="1" x14ac:dyDescent="0.2"/>
    <row r="776" s="3" customFormat="1" ht="12.75" customHeight="1" x14ac:dyDescent="0.2"/>
    <row r="777" s="3" customFormat="1" ht="12.75" customHeight="1" x14ac:dyDescent="0.2"/>
    <row r="778" s="3" customFormat="1" ht="12.75" customHeight="1" x14ac:dyDescent="0.2"/>
    <row r="779" s="3" customFormat="1" ht="12.75" customHeight="1" x14ac:dyDescent="0.2"/>
    <row r="780" s="3" customFormat="1" ht="12.75" customHeight="1" x14ac:dyDescent="0.2"/>
    <row r="781" s="3" customFormat="1" ht="12.75" customHeight="1" x14ac:dyDescent="0.2"/>
    <row r="782" s="3" customFormat="1" ht="12.75" customHeight="1" x14ac:dyDescent="0.2"/>
    <row r="783" s="3" customFormat="1" ht="12.75" customHeight="1" x14ac:dyDescent="0.2"/>
    <row r="784" s="3" customFormat="1" ht="12.75" customHeight="1" x14ac:dyDescent="0.2"/>
    <row r="785" s="3" customFormat="1" ht="12.75" customHeight="1" x14ac:dyDescent="0.2"/>
    <row r="786" s="3" customFormat="1" ht="12.75" customHeight="1" x14ac:dyDescent="0.2"/>
    <row r="787" s="3" customFormat="1" ht="12.75" customHeight="1" x14ac:dyDescent="0.2"/>
    <row r="788" s="3" customFormat="1" ht="12.75" customHeight="1" x14ac:dyDescent="0.2"/>
    <row r="789" s="3" customFormat="1" ht="12.75" customHeight="1" x14ac:dyDescent="0.2"/>
    <row r="790" s="3" customFormat="1" ht="12.75" customHeight="1" x14ac:dyDescent="0.2"/>
    <row r="791" s="3" customFormat="1" ht="12.75" customHeight="1" x14ac:dyDescent="0.2"/>
    <row r="792" s="3" customFormat="1" ht="12.75" customHeight="1" x14ac:dyDescent="0.2"/>
    <row r="793" s="3" customFormat="1" ht="12.75" customHeight="1" x14ac:dyDescent="0.2"/>
    <row r="794" s="3" customFormat="1" ht="12.75" customHeight="1" x14ac:dyDescent="0.2"/>
    <row r="795" s="3" customFormat="1" ht="12.75" customHeight="1" x14ac:dyDescent="0.2"/>
    <row r="796" s="3" customFormat="1" ht="12.75" customHeight="1" x14ac:dyDescent="0.2"/>
    <row r="797" s="3" customFormat="1" ht="12.75" customHeight="1" x14ac:dyDescent="0.2"/>
    <row r="798" s="3" customFormat="1" ht="12.75" customHeight="1" x14ac:dyDescent="0.2"/>
    <row r="799" s="3" customFormat="1" ht="12.75" customHeight="1" x14ac:dyDescent="0.2"/>
    <row r="800" s="3" customFormat="1" ht="12.75" customHeight="1" x14ac:dyDescent="0.2"/>
    <row r="801" s="3" customFormat="1" ht="12.75" customHeight="1" x14ac:dyDescent="0.2"/>
    <row r="802" s="3" customFormat="1" ht="12.75" customHeight="1" x14ac:dyDescent="0.2"/>
    <row r="803" s="3" customFormat="1" ht="12.75" customHeight="1" x14ac:dyDescent="0.2"/>
    <row r="804" s="3" customFormat="1" ht="12.75" customHeight="1" x14ac:dyDescent="0.2"/>
    <row r="805" s="3" customFormat="1" ht="12.75" customHeight="1" x14ac:dyDescent="0.2"/>
    <row r="806" s="3" customFormat="1" ht="12.75" customHeight="1" x14ac:dyDescent="0.2"/>
    <row r="807" s="3" customFormat="1" ht="12.75" customHeight="1" x14ac:dyDescent="0.2"/>
    <row r="808" s="3" customFormat="1" ht="12.75" customHeight="1" x14ac:dyDescent="0.2"/>
    <row r="809" s="3" customFormat="1" ht="12.75" customHeight="1" x14ac:dyDescent="0.2"/>
    <row r="810" s="3" customFormat="1" ht="12.75" customHeight="1" x14ac:dyDescent="0.2"/>
    <row r="811" s="3" customFormat="1" ht="12.75" customHeight="1" x14ac:dyDescent="0.2"/>
    <row r="812" s="3" customFormat="1" ht="12.75" customHeight="1" x14ac:dyDescent="0.2"/>
    <row r="813" s="3" customFormat="1" ht="12.75" customHeight="1" x14ac:dyDescent="0.2"/>
    <row r="814" s="3" customFormat="1" ht="12.75" customHeight="1" x14ac:dyDescent="0.2"/>
    <row r="815" s="3" customFormat="1" ht="12.75" customHeight="1" x14ac:dyDescent="0.2"/>
    <row r="816" s="3" customFormat="1" ht="12.75" customHeight="1" x14ac:dyDescent="0.2"/>
    <row r="817" s="3" customFormat="1" ht="12.75" customHeight="1" x14ac:dyDescent="0.2"/>
    <row r="818" s="3" customFormat="1" ht="12.75" customHeight="1" x14ac:dyDescent="0.2"/>
    <row r="819" s="3" customFormat="1" ht="12.75" customHeight="1" x14ac:dyDescent="0.2"/>
    <row r="820" s="3" customFormat="1" ht="12.75" customHeight="1" x14ac:dyDescent="0.2"/>
    <row r="821" s="3" customFormat="1" ht="12.75" customHeight="1" x14ac:dyDescent="0.2"/>
    <row r="822" s="3" customFormat="1" ht="12.75" customHeight="1" x14ac:dyDescent="0.2"/>
    <row r="823" s="3" customFormat="1" ht="12.75" customHeight="1" x14ac:dyDescent="0.2"/>
    <row r="824" s="3" customFormat="1" ht="12.75" customHeight="1" x14ac:dyDescent="0.2"/>
    <row r="825" s="3" customFormat="1" ht="12.75" customHeight="1" x14ac:dyDescent="0.2"/>
    <row r="826" s="3" customFormat="1" ht="12.75" customHeight="1" x14ac:dyDescent="0.2"/>
    <row r="827" s="3" customFormat="1" ht="12.75" customHeight="1" x14ac:dyDescent="0.2"/>
    <row r="828" s="3" customFormat="1" ht="12.75" customHeight="1" x14ac:dyDescent="0.2"/>
    <row r="829" s="3" customFormat="1" ht="12.75" customHeight="1" x14ac:dyDescent="0.2"/>
    <row r="830" s="3" customFormat="1" ht="12.75" customHeight="1" x14ac:dyDescent="0.2"/>
    <row r="831" s="3" customFormat="1" ht="12.75" customHeight="1" x14ac:dyDescent="0.2"/>
    <row r="832" s="3" customFormat="1" ht="12.75" customHeight="1" x14ac:dyDescent="0.2"/>
    <row r="833" s="3" customFormat="1" ht="12.75" customHeight="1" x14ac:dyDescent="0.2"/>
    <row r="834" s="3" customFormat="1" ht="12.75" customHeight="1" x14ac:dyDescent="0.2"/>
    <row r="835" s="3" customFormat="1" ht="12.75" customHeight="1" x14ac:dyDescent="0.2"/>
    <row r="836" s="3" customFormat="1" ht="12.75" customHeight="1" x14ac:dyDescent="0.2"/>
    <row r="837" s="3" customFormat="1" ht="12.75" customHeight="1" x14ac:dyDescent="0.2"/>
    <row r="838" s="3" customFormat="1" ht="12.75" customHeight="1" x14ac:dyDescent="0.2"/>
    <row r="839" s="3" customFormat="1" ht="12.75" customHeight="1" x14ac:dyDescent="0.2"/>
    <row r="840" s="3" customFormat="1" ht="12.75" customHeight="1" x14ac:dyDescent="0.2"/>
    <row r="841" s="3" customFormat="1" ht="12.75" customHeight="1" x14ac:dyDescent="0.2"/>
    <row r="842" s="3" customFormat="1" ht="12.75" customHeight="1" x14ac:dyDescent="0.2"/>
    <row r="843" s="3" customFormat="1" ht="12.75" customHeight="1" x14ac:dyDescent="0.2"/>
    <row r="844" s="3" customFormat="1" ht="12.75" customHeight="1" x14ac:dyDescent="0.2"/>
    <row r="845" s="3" customFormat="1" ht="12.75" customHeight="1" x14ac:dyDescent="0.2"/>
    <row r="846" s="3" customFormat="1" ht="12.75" customHeight="1" x14ac:dyDescent="0.2"/>
    <row r="847" s="3" customFormat="1" ht="12.75" customHeight="1" x14ac:dyDescent="0.2"/>
    <row r="848" s="3" customFormat="1" ht="12.75" customHeight="1" x14ac:dyDescent="0.2"/>
    <row r="849" s="3" customFormat="1" ht="12.75" customHeight="1" x14ac:dyDescent="0.2"/>
    <row r="850" s="3" customFormat="1" ht="12.75" customHeight="1" x14ac:dyDescent="0.2"/>
    <row r="851" s="3" customFormat="1" ht="12.75" customHeight="1" x14ac:dyDescent="0.2"/>
    <row r="852" s="3" customFormat="1" ht="12.75" customHeight="1" x14ac:dyDescent="0.2"/>
    <row r="853" s="3" customFormat="1" ht="12.75" customHeight="1" x14ac:dyDescent="0.2"/>
    <row r="854" s="3" customFormat="1" ht="12.75" customHeight="1" x14ac:dyDescent="0.2"/>
    <row r="855" s="3" customFormat="1" ht="12.75" customHeight="1" x14ac:dyDescent="0.2"/>
    <row r="856" s="3" customFormat="1" ht="12.75" customHeight="1" x14ac:dyDescent="0.2"/>
    <row r="857" s="3" customFormat="1" ht="12.75" customHeight="1" x14ac:dyDescent="0.2"/>
    <row r="858" s="3" customFormat="1" ht="12.75" customHeight="1" x14ac:dyDescent="0.2"/>
    <row r="859" s="3" customFormat="1" ht="12.75" customHeight="1" x14ac:dyDescent="0.2"/>
    <row r="860" s="3" customFormat="1" ht="12.75" customHeight="1" x14ac:dyDescent="0.2"/>
    <row r="861" s="3" customFormat="1" ht="12.75" customHeight="1" x14ac:dyDescent="0.2"/>
    <row r="862" s="3" customFormat="1" ht="12.75" customHeight="1" x14ac:dyDescent="0.2"/>
    <row r="863" s="3" customFormat="1" ht="12.75" customHeight="1" x14ac:dyDescent="0.2"/>
    <row r="864" s="3" customFormat="1" ht="12.75" customHeight="1" x14ac:dyDescent="0.2"/>
    <row r="865" s="3" customFormat="1" ht="12.75" customHeight="1" x14ac:dyDescent="0.2"/>
    <row r="866" s="3" customFormat="1" ht="12.75" customHeight="1" x14ac:dyDescent="0.2"/>
    <row r="867" s="3" customFormat="1" ht="12.75" customHeight="1" x14ac:dyDescent="0.2"/>
    <row r="868" s="3" customFormat="1" ht="12.75" customHeight="1" x14ac:dyDescent="0.2"/>
    <row r="869" s="3" customFormat="1" ht="12.75" customHeight="1" x14ac:dyDescent="0.2"/>
    <row r="870" s="3" customFormat="1" ht="12.75" customHeight="1" x14ac:dyDescent="0.2"/>
    <row r="871" s="3" customFormat="1" ht="12.75" customHeight="1" x14ac:dyDescent="0.2"/>
    <row r="872" s="3" customFormat="1" ht="12.75" customHeight="1" x14ac:dyDescent="0.2"/>
    <row r="873" s="3" customFormat="1" ht="12.75" customHeight="1" x14ac:dyDescent="0.2"/>
    <row r="874" s="3" customFormat="1" ht="12.75" customHeight="1" x14ac:dyDescent="0.2"/>
    <row r="875" s="3" customFormat="1" ht="12.75" customHeight="1" x14ac:dyDescent="0.2"/>
    <row r="876" s="3" customFormat="1" ht="12.75" customHeight="1" x14ac:dyDescent="0.2"/>
    <row r="877" s="3" customFormat="1" ht="12.75" customHeight="1" x14ac:dyDescent="0.2"/>
    <row r="878" s="3" customFormat="1" ht="12.75" customHeight="1" x14ac:dyDescent="0.2"/>
    <row r="879" s="3" customFormat="1" ht="12.75" customHeight="1" x14ac:dyDescent="0.2"/>
    <row r="880" s="3" customFormat="1" ht="12.75" customHeight="1" x14ac:dyDescent="0.2"/>
    <row r="881" s="3" customFormat="1" ht="12.75" customHeight="1" x14ac:dyDescent="0.2"/>
    <row r="882" s="3" customFormat="1" ht="12.75" customHeight="1" x14ac:dyDescent="0.2"/>
    <row r="883" s="3" customFormat="1" ht="12.75" customHeight="1" x14ac:dyDescent="0.2"/>
    <row r="884" s="3" customFormat="1" ht="12.75" customHeight="1" x14ac:dyDescent="0.2"/>
    <row r="885" s="3" customFormat="1" ht="12.75" customHeight="1" x14ac:dyDescent="0.2"/>
    <row r="886" s="3" customFormat="1" ht="12.75" customHeight="1" x14ac:dyDescent="0.2"/>
    <row r="887" s="3" customFormat="1" ht="12.75" customHeight="1" x14ac:dyDescent="0.2"/>
    <row r="888" s="3" customFormat="1" ht="12.75" customHeight="1" x14ac:dyDescent="0.2"/>
    <row r="889" s="3" customFormat="1" ht="12.75" customHeight="1" x14ac:dyDescent="0.2"/>
    <row r="890" s="3" customFormat="1" ht="12.75" customHeight="1" x14ac:dyDescent="0.2"/>
    <row r="891" s="3" customFormat="1" ht="12.75" customHeight="1" x14ac:dyDescent="0.2"/>
    <row r="892" s="3" customFormat="1" ht="12.75" customHeight="1" x14ac:dyDescent="0.2"/>
    <row r="893" s="3" customFormat="1" ht="12.75" customHeight="1" x14ac:dyDescent="0.2"/>
    <row r="894" s="3" customFormat="1" ht="12.75" customHeight="1" x14ac:dyDescent="0.2"/>
    <row r="895" s="3" customFormat="1" ht="12.75" customHeight="1" x14ac:dyDescent="0.2"/>
    <row r="896" s="3" customFormat="1" ht="12.75" customHeight="1" x14ac:dyDescent="0.2"/>
    <row r="897" s="3" customFormat="1" ht="12.75" customHeight="1" x14ac:dyDescent="0.2"/>
    <row r="898" s="3" customFormat="1" ht="12.75" customHeight="1" x14ac:dyDescent="0.2"/>
    <row r="899" s="3" customFormat="1" ht="12.75" customHeight="1" x14ac:dyDescent="0.2"/>
    <row r="900" s="3" customFormat="1" ht="12.75" customHeight="1" x14ac:dyDescent="0.2"/>
    <row r="901" s="3" customFormat="1" ht="12.75" customHeight="1" x14ac:dyDescent="0.2"/>
    <row r="902" s="3" customFormat="1" ht="12.75" customHeight="1" x14ac:dyDescent="0.2"/>
    <row r="903" s="3" customFormat="1" ht="12.75" customHeight="1" x14ac:dyDescent="0.2"/>
    <row r="904" s="3" customFormat="1" ht="12.75" customHeight="1" x14ac:dyDescent="0.2"/>
    <row r="905" s="3" customFormat="1" ht="12.75" customHeight="1" x14ac:dyDescent="0.2"/>
    <row r="906" s="3" customFormat="1" ht="12.75" customHeight="1" x14ac:dyDescent="0.2"/>
    <row r="907" s="3" customFormat="1" ht="12.75" customHeight="1" x14ac:dyDescent="0.2"/>
    <row r="908" s="3" customFormat="1" ht="12.75" customHeight="1" x14ac:dyDescent="0.2"/>
    <row r="909" s="3" customFormat="1" ht="12.75" customHeight="1" x14ac:dyDescent="0.2"/>
    <row r="910" s="3" customFormat="1" ht="12.75" customHeight="1" x14ac:dyDescent="0.2"/>
    <row r="911" s="3" customFormat="1" ht="12.75" customHeight="1" x14ac:dyDescent="0.2"/>
    <row r="912" s="3" customFormat="1" ht="12.75" customHeight="1" x14ac:dyDescent="0.2"/>
    <row r="913" s="3" customFormat="1" ht="12.75" customHeight="1" x14ac:dyDescent="0.2"/>
    <row r="914" s="3" customFormat="1" ht="12.75" customHeight="1" x14ac:dyDescent="0.2"/>
    <row r="915" s="3" customFormat="1" ht="12.75" customHeight="1" x14ac:dyDescent="0.2"/>
    <row r="916" s="3" customFormat="1" ht="12.75" customHeight="1" x14ac:dyDescent="0.2"/>
    <row r="917" s="3" customFormat="1" ht="12.75" customHeight="1" x14ac:dyDescent="0.2"/>
    <row r="918" s="3" customFormat="1" ht="12.75" customHeight="1" x14ac:dyDescent="0.2"/>
    <row r="919" s="3" customFormat="1" ht="12.75" customHeight="1" x14ac:dyDescent="0.2"/>
    <row r="920" s="3" customFormat="1" ht="12.75" customHeight="1" x14ac:dyDescent="0.2"/>
    <row r="921" s="3" customFormat="1" ht="12.75" customHeight="1" x14ac:dyDescent="0.2"/>
    <row r="922" s="3" customFormat="1" ht="12.75" customHeight="1" x14ac:dyDescent="0.2"/>
    <row r="923" s="3" customFormat="1" ht="12.75" customHeight="1" x14ac:dyDescent="0.2"/>
    <row r="924" s="3" customFormat="1" ht="12.75" customHeight="1" x14ac:dyDescent="0.2"/>
    <row r="925" s="3" customFormat="1" ht="12.75" customHeight="1" x14ac:dyDescent="0.2"/>
    <row r="926" s="3" customFormat="1" ht="12.75" customHeight="1" x14ac:dyDescent="0.2"/>
    <row r="927" s="3" customFormat="1" ht="12.75" customHeight="1" x14ac:dyDescent="0.2"/>
    <row r="928" s="3" customFormat="1" ht="12.75" customHeight="1" x14ac:dyDescent="0.2"/>
    <row r="929" s="3" customFormat="1" ht="12.75" customHeight="1" x14ac:dyDescent="0.2"/>
    <row r="930" s="3" customFormat="1" ht="12.75" customHeight="1" x14ac:dyDescent="0.2"/>
    <row r="931" s="3" customFormat="1" ht="12.75" customHeight="1" x14ac:dyDescent="0.2"/>
    <row r="932" s="3" customFormat="1" ht="12.75" customHeight="1" x14ac:dyDescent="0.2"/>
    <row r="933" s="3" customFormat="1" ht="12.75" customHeight="1" x14ac:dyDescent="0.2"/>
    <row r="934" s="3" customFormat="1" ht="12.75" customHeight="1" x14ac:dyDescent="0.2"/>
    <row r="935" s="3" customFormat="1" ht="12.75" customHeight="1" x14ac:dyDescent="0.2"/>
    <row r="936" s="3" customFormat="1" ht="12.75" customHeight="1" x14ac:dyDescent="0.2"/>
    <row r="937" s="3" customFormat="1" ht="12.75" customHeight="1" x14ac:dyDescent="0.2"/>
    <row r="938" s="3" customFormat="1" ht="12.75" customHeight="1" x14ac:dyDescent="0.2"/>
    <row r="939" s="3" customFormat="1" ht="12.75" customHeight="1" x14ac:dyDescent="0.2"/>
    <row r="940" s="3" customFormat="1" ht="12.75" customHeight="1" x14ac:dyDescent="0.2"/>
    <row r="941" s="3" customFormat="1" ht="12.75" customHeight="1" x14ac:dyDescent="0.2"/>
    <row r="942" s="3" customFormat="1" ht="12.75" customHeight="1" x14ac:dyDescent="0.2"/>
    <row r="943" s="3" customFormat="1" ht="12.75" customHeight="1" x14ac:dyDescent="0.2"/>
    <row r="944" s="3" customFormat="1" ht="12.75" customHeight="1" x14ac:dyDescent="0.2"/>
    <row r="945" s="3" customFormat="1" ht="12.75" customHeight="1" x14ac:dyDescent="0.2"/>
    <row r="946" s="3" customFormat="1" ht="12.75" customHeight="1" x14ac:dyDescent="0.2"/>
    <row r="947" s="3" customFormat="1" ht="12.75" customHeight="1" x14ac:dyDescent="0.2"/>
    <row r="948" s="3" customFormat="1" ht="12.75" customHeight="1" x14ac:dyDescent="0.2"/>
    <row r="949" s="3" customFormat="1" ht="12.75" customHeight="1" x14ac:dyDescent="0.2"/>
    <row r="950" s="3" customFormat="1" ht="12.75" customHeight="1" x14ac:dyDescent="0.2"/>
    <row r="951" s="3" customFormat="1" ht="12.75" customHeight="1" x14ac:dyDescent="0.2"/>
    <row r="952" s="3" customFormat="1" ht="12.75" customHeight="1" x14ac:dyDescent="0.2"/>
    <row r="953" s="3" customFormat="1" ht="12.75" customHeight="1" x14ac:dyDescent="0.2"/>
    <row r="954" s="3" customFormat="1" ht="12.75" customHeight="1" x14ac:dyDescent="0.2"/>
    <row r="955" s="3" customFormat="1" ht="12.75" customHeight="1" x14ac:dyDescent="0.2"/>
    <row r="956" s="3" customFormat="1" ht="12.75" customHeight="1" x14ac:dyDescent="0.2"/>
    <row r="957" s="3" customFormat="1" ht="12.75" customHeight="1" x14ac:dyDescent="0.2"/>
    <row r="958" s="3" customFormat="1" ht="12.75" customHeight="1" x14ac:dyDescent="0.2"/>
    <row r="959" s="3" customFormat="1" ht="12.75" customHeight="1" x14ac:dyDescent="0.2"/>
    <row r="960" s="3" customFormat="1" ht="12.75" customHeight="1" x14ac:dyDescent="0.2"/>
    <row r="961" s="3" customFormat="1" ht="12.75" customHeight="1" x14ac:dyDescent="0.2"/>
    <row r="962" s="3" customFormat="1" ht="12.75" customHeight="1" x14ac:dyDescent="0.2"/>
    <row r="963" s="3" customFormat="1" ht="12.75" customHeight="1" x14ac:dyDescent="0.2"/>
    <row r="964" s="3" customFormat="1" ht="12.75" customHeight="1" x14ac:dyDescent="0.2"/>
    <row r="965" s="3" customFormat="1" ht="12.75" customHeight="1" x14ac:dyDescent="0.2"/>
    <row r="966" s="3" customFormat="1" ht="12.75" customHeight="1" x14ac:dyDescent="0.2"/>
    <row r="967" s="3" customFormat="1" ht="12.75" customHeight="1" x14ac:dyDescent="0.2"/>
    <row r="968" s="3" customFormat="1" ht="12.75" customHeight="1" x14ac:dyDescent="0.2"/>
    <row r="969" s="3" customFormat="1" ht="12.75" customHeight="1" x14ac:dyDescent="0.2"/>
    <row r="970" s="3" customFormat="1" ht="12.75" customHeight="1" x14ac:dyDescent="0.2"/>
    <row r="971" s="3" customFormat="1" ht="12.75" customHeight="1" x14ac:dyDescent="0.2"/>
    <row r="972" s="3" customFormat="1" ht="12.75" customHeight="1" x14ac:dyDescent="0.2"/>
    <row r="973" s="3" customFormat="1" ht="12.75" customHeight="1" x14ac:dyDescent="0.2"/>
    <row r="974" s="3" customFormat="1" ht="12.75" customHeight="1" x14ac:dyDescent="0.2"/>
    <row r="975" s="3" customFormat="1" ht="12.75" customHeight="1" x14ac:dyDescent="0.2"/>
    <row r="976" s="3" customFormat="1" ht="12.75" customHeight="1" x14ac:dyDescent="0.2"/>
    <row r="977" s="3" customFormat="1" ht="12.75" customHeight="1" x14ac:dyDescent="0.2"/>
    <row r="978" s="3" customFormat="1" ht="12.75" customHeight="1" x14ac:dyDescent="0.2"/>
    <row r="979" s="3" customFormat="1" ht="12.75" customHeight="1" x14ac:dyDescent="0.2"/>
    <row r="980" s="3" customFormat="1" ht="12.75" customHeight="1" x14ac:dyDescent="0.2"/>
    <row r="981" s="3" customFormat="1" ht="12.75" customHeight="1" x14ac:dyDescent="0.2"/>
    <row r="982" s="3" customFormat="1" ht="12.75" customHeight="1" x14ac:dyDescent="0.2"/>
    <row r="983" s="3" customFormat="1" ht="12.75" customHeight="1" x14ac:dyDescent="0.2"/>
    <row r="984" s="3" customFormat="1" ht="12.75" customHeight="1" x14ac:dyDescent="0.2"/>
    <row r="985" s="3" customFormat="1" ht="12.75" customHeight="1" x14ac:dyDescent="0.2"/>
    <row r="986" s="3" customFormat="1" ht="12.75" customHeight="1" x14ac:dyDescent="0.2"/>
    <row r="987" s="3" customFormat="1" ht="12.75" customHeight="1" x14ac:dyDescent="0.2"/>
    <row r="988" s="3" customFormat="1" ht="12.75" customHeight="1" x14ac:dyDescent="0.2"/>
    <row r="989" s="3" customFormat="1" ht="12.75" customHeight="1" x14ac:dyDescent="0.2"/>
    <row r="990" s="3" customFormat="1" ht="12.75" customHeight="1" x14ac:dyDescent="0.2"/>
    <row r="991" s="3" customFormat="1" ht="12.75" customHeight="1" x14ac:dyDescent="0.2"/>
    <row r="992" s="3" customFormat="1" ht="12.75" customHeight="1" x14ac:dyDescent="0.2"/>
    <row r="993" s="3" customFormat="1" ht="12.75" customHeight="1" x14ac:dyDescent="0.2"/>
    <row r="994" s="3" customFormat="1" ht="12.75" customHeight="1" x14ac:dyDescent="0.2"/>
    <row r="995" s="3" customFormat="1" ht="12.75" customHeight="1" x14ac:dyDescent="0.2"/>
    <row r="996" s="3" customFormat="1" ht="12.75" customHeight="1" x14ac:dyDescent="0.2"/>
    <row r="997" s="3" customFormat="1" ht="12.75" customHeight="1" x14ac:dyDescent="0.2"/>
    <row r="998" s="3" customFormat="1" ht="12.75" customHeight="1" x14ac:dyDescent="0.2"/>
    <row r="999" s="3" customFormat="1" ht="12.75" customHeight="1" x14ac:dyDescent="0.2"/>
    <row r="1000" s="3" customFormat="1" ht="12.75" customHeight="1" x14ac:dyDescent="0.2"/>
    <row r="1001" s="3" customFormat="1" ht="12.75" customHeight="1" x14ac:dyDescent="0.2"/>
    <row r="1002" s="3" customFormat="1" ht="12.75" customHeight="1" x14ac:dyDescent="0.2"/>
    <row r="1003" s="3" customFormat="1" ht="12.75" customHeight="1" x14ac:dyDescent="0.2"/>
    <row r="1004" s="3" customFormat="1" ht="12.75" customHeight="1" x14ac:dyDescent="0.2"/>
    <row r="1005" s="3" customFormat="1" ht="12.75" customHeight="1" x14ac:dyDescent="0.2"/>
    <row r="1006" s="3" customFormat="1" ht="12.75" customHeight="1" x14ac:dyDescent="0.2"/>
    <row r="1007" s="3" customFormat="1" ht="12.75" customHeight="1" x14ac:dyDescent="0.2"/>
    <row r="1008" s="3" customFormat="1" ht="12.75" customHeight="1" x14ac:dyDescent="0.2"/>
    <row r="1009" s="3" customFormat="1" ht="12.75" customHeight="1" x14ac:dyDescent="0.2"/>
    <row r="1010" s="3" customFormat="1" ht="12.75" customHeight="1" x14ac:dyDescent="0.2"/>
    <row r="1011" s="3" customFormat="1" ht="12.75" customHeight="1" x14ac:dyDescent="0.2"/>
    <row r="1012" s="3" customFormat="1" ht="12.75" customHeight="1" x14ac:dyDescent="0.2"/>
    <row r="1013" s="3" customFormat="1" ht="12.75" customHeight="1" x14ac:dyDescent="0.2"/>
    <row r="1014" s="3" customFormat="1" ht="12.75" customHeight="1" x14ac:dyDescent="0.2"/>
    <row r="1015" s="3" customFormat="1" ht="12.75" customHeight="1" x14ac:dyDescent="0.2"/>
    <row r="1016" s="3" customFormat="1" ht="12.75" customHeight="1" x14ac:dyDescent="0.2"/>
    <row r="1017" s="3" customFormat="1" ht="12.75" customHeight="1" x14ac:dyDescent="0.2"/>
    <row r="1018" s="3" customFormat="1" ht="12.75" customHeight="1" x14ac:dyDescent="0.2"/>
    <row r="1019" s="3" customFormat="1" ht="12.75" customHeight="1" x14ac:dyDescent="0.2"/>
    <row r="1020" s="3" customFormat="1" ht="12.75" customHeight="1" x14ac:dyDescent="0.2"/>
    <row r="1021" s="3" customFormat="1" ht="12.75" customHeight="1" x14ac:dyDescent="0.2"/>
    <row r="1022" s="3" customFormat="1" ht="12.75" customHeight="1" x14ac:dyDescent="0.2"/>
    <row r="1023" s="3" customFormat="1" ht="12.75" customHeight="1" x14ac:dyDescent="0.2"/>
    <row r="1024" s="3" customFormat="1" ht="12.75" customHeight="1" x14ac:dyDescent="0.2"/>
    <row r="1025" s="3" customFormat="1" ht="12.75" customHeight="1" x14ac:dyDescent="0.2"/>
    <row r="1026" s="3" customFormat="1" ht="12.75" customHeight="1" x14ac:dyDescent="0.2"/>
    <row r="1027" s="3" customFormat="1" ht="12.75" customHeight="1" x14ac:dyDescent="0.2"/>
    <row r="1028" s="3" customFormat="1" ht="12.75" customHeight="1" x14ac:dyDescent="0.2"/>
    <row r="1029" s="3" customFormat="1" ht="12.75" customHeight="1" x14ac:dyDescent="0.2"/>
    <row r="1030" s="3" customFormat="1" ht="12.75" customHeight="1" x14ac:dyDescent="0.2"/>
    <row r="1031" s="3" customFormat="1" ht="12.75" customHeight="1" x14ac:dyDescent="0.2"/>
    <row r="1032" s="3" customFormat="1" ht="12.75" customHeight="1" x14ac:dyDescent="0.2"/>
    <row r="1033" s="3" customFormat="1" ht="12.75" customHeight="1" x14ac:dyDescent="0.2"/>
    <row r="1034" s="3" customFormat="1" ht="12.75" customHeight="1" x14ac:dyDescent="0.2"/>
    <row r="1035" s="3" customFormat="1" ht="12.75" customHeight="1" x14ac:dyDescent="0.2"/>
    <row r="1036" s="3" customFormat="1" ht="12.75" customHeight="1" x14ac:dyDescent="0.2"/>
    <row r="1037" s="3" customFormat="1" ht="12.75" customHeight="1" x14ac:dyDescent="0.2"/>
    <row r="1038" s="3" customFormat="1" ht="12.75" customHeight="1" x14ac:dyDescent="0.2"/>
    <row r="1039" s="3" customFormat="1" ht="12.75" customHeight="1" x14ac:dyDescent="0.2"/>
    <row r="1040" s="3" customFormat="1" ht="12.75" customHeight="1" x14ac:dyDescent="0.2"/>
    <row r="1041" s="3" customFormat="1" ht="12.75" customHeight="1" x14ac:dyDescent="0.2"/>
    <row r="1042" s="3" customFormat="1" ht="12.75" customHeight="1" x14ac:dyDescent="0.2"/>
    <row r="1043" s="3" customFormat="1" ht="12.75" customHeight="1" x14ac:dyDescent="0.2"/>
    <row r="1044" s="3" customFormat="1" ht="12.75" customHeight="1" x14ac:dyDescent="0.2"/>
    <row r="1045" s="3" customFormat="1" ht="12.75" customHeight="1" x14ac:dyDescent="0.2"/>
    <row r="1046" s="3" customFormat="1" ht="12.75" customHeight="1" x14ac:dyDescent="0.2"/>
    <row r="1047" s="3" customFormat="1" ht="12.75" customHeight="1" x14ac:dyDescent="0.2"/>
    <row r="1048" s="3" customFormat="1" ht="12.75" customHeight="1" x14ac:dyDescent="0.2"/>
    <row r="1049" s="3" customFormat="1" ht="12.75" customHeight="1" x14ac:dyDescent="0.2"/>
    <row r="1050" s="3" customFormat="1" ht="12.75" customHeight="1" x14ac:dyDescent="0.2"/>
    <row r="1051" s="3" customFormat="1" ht="12.75" customHeight="1" x14ac:dyDescent="0.2"/>
    <row r="1052" s="3" customFormat="1" ht="12.75" customHeight="1" x14ac:dyDescent="0.2"/>
    <row r="1053" s="3" customFormat="1" ht="12.75" customHeight="1" x14ac:dyDescent="0.2"/>
    <row r="1054" s="3" customFormat="1" ht="12.75" customHeight="1" x14ac:dyDescent="0.2"/>
    <row r="1055" s="3" customFormat="1" ht="12.75" customHeight="1" x14ac:dyDescent="0.2"/>
    <row r="1056" s="3" customFormat="1" ht="12.75" customHeight="1" x14ac:dyDescent="0.2"/>
    <row r="1057" s="3" customFormat="1" ht="12.75" customHeight="1" x14ac:dyDescent="0.2"/>
    <row r="1058" s="3" customFormat="1" ht="12.75" customHeight="1" x14ac:dyDescent="0.2"/>
    <row r="1059" s="3" customFormat="1" ht="12.75" customHeight="1" x14ac:dyDescent="0.2"/>
    <row r="1060" s="3" customFormat="1" ht="12.75" customHeight="1" x14ac:dyDescent="0.2"/>
    <row r="1061" s="3" customFormat="1" ht="12.75" customHeight="1" x14ac:dyDescent="0.2"/>
    <row r="1062" s="3" customFormat="1" ht="12.75" customHeight="1" x14ac:dyDescent="0.2"/>
    <row r="1063" s="3" customFormat="1" ht="12.75" customHeight="1" x14ac:dyDescent="0.2"/>
    <row r="1064" s="3" customFormat="1" ht="12.75" customHeight="1" x14ac:dyDescent="0.2"/>
    <row r="1065" s="3" customFormat="1" ht="12.75" customHeight="1" x14ac:dyDescent="0.2"/>
    <row r="1066" s="3" customFormat="1" ht="12.75" customHeight="1" x14ac:dyDescent="0.2"/>
    <row r="1067" s="3" customFormat="1" ht="12.75" customHeight="1" x14ac:dyDescent="0.2"/>
    <row r="1068" s="3" customFormat="1" ht="12.75" customHeight="1" x14ac:dyDescent="0.2"/>
    <row r="1069" s="3" customFormat="1" ht="12.75" customHeight="1" x14ac:dyDescent="0.2"/>
    <row r="1070" s="3" customFormat="1" ht="12.75" customHeight="1" x14ac:dyDescent="0.2"/>
    <row r="1071" s="3" customFormat="1" ht="12.75" customHeight="1" x14ac:dyDescent="0.2"/>
    <row r="1072" s="3" customFormat="1" ht="12.75" customHeight="1" x14ac:dyDescent="0.2"/>
    <row r="1073" s="3" customFormat="1" ht="12.75" customHeight="1" x14ac:dyDescent="0.2"/>
    <row r="1074" s="3" customFormat="1" ht="12.75" customHeight="1" x14ac:dyDescent="0.2"/>
    <row r="1075" s="3" customFormat="1" ht="12.75" customHeight="1" x14ac:dyDescent="0.2"/>
    <row r="1076" s="3" customFormat="1" ht="12.75" customHeight="1" x14ac:dyDescent="0.2"/>
    <row r="1077" s="3" customFormat="1" ht="12.75" customHeight="1" x14ac:dyDescent="0.2"/>
    <row r="1078" s="3" customFormat="1" ht="12.75" customHeight="1" x14ac:dyDescent="0.2"/>
    <row r="1079" s="3" customFormat="1" ht="12.75" customHeight="1" x14ac:dyDescent="0.2"/>
    <row r="1080" s="3" customFormat="1" ht="12.75" customHeight="1" x14ac:dyDescent="0.2"/>
    <row r="1081" s="3" customFormat="1" ht="12.75" customHeight="1" x14ac:dyDescent="0.2"/>
    <row r="1082" s="3" customFormat="1" ht="12.75" customHeight="1" x14ac:dyDescent="0.2"/>
    <row r="1083" s="3" customFormat="1" ht="12.75" customHeight="1" x14ac:dyDescent="0.2"/>
    <row r="1084" s="3" customFormat="1" ht="12.75" customHeight="1" x14ac:dyDescent="0.2"/>
    <row r="1085" s="3" customFormat="1" ht="12.75" customHeight="1" x14ac:dyDescent="0.2"/>
    <row r="1086" s="3" customFormat="1" ht="12.75" customHeight="1" x14ac:dyDescent="0.2"/>
    <row r="1087" s="3" customFormat="1" ht="12.75" customHeight="1" x14ac:dyDescent="0.2"/>
    <row r="1088" s="3" customFormat="1" ht="12.75" customHeight="1" x14ac:dyDescent="0.2"/>
    <row r="1089" s="3" customFormat="1" ht="12.75" customHeight="1" x14ac:dyDescent="0.2"/>
    <row r="1090" s="3" customFormat="1" ht="12.75" customHeight="1" x14ac:dyDescent="0.2"/>
    <row r="1091" s="3" customFormat="1" ht="12.75" customHeight="1" x14ac:dyDescent="0.2"/>
    <row r="1092" s="3" customFormat="1" ht="12.75" customHeight="1" x14ac:dyDescent="0.2"/>
    <row r="1093" s="3" customFormat="1" ht="12.75" customHeight="1" x14ac:dyDescent="0.2"/>
    <row r="1094" s="3" customFormat="1" ht="12.75" customHeight="1" x14ac:dyDescent="0.2"/>
    <row r="1095" s="3" customFormat="1" ht="12.75" customHeight="1" x14ac:dyDescent="0.2"/>
    <row r="1096" s="3" customFormat="1" ht="12.75" customHeight="1" x14ac:dyDescent="0.2"/>
    <row r="1097" s="3" customFormat="1" ht="12.75" customHeight="1" x14ac:dyDescent="0.2"/>
    <row r="1098" s="3" customFormat="1" ht="12.75" customHeight="1" x14ac:dyDescent="0.2"/>
    <row r="1099" s="3" customFormat="1" ht="12.75" customHeight="1" x14ac:dyDescent="0.2"/>
    <row r="1100" s="3" customFormat="1" ht="12.75" customHeight="1" x14ac:dyDescent="0.2"/>
    <row r="1101" s="3" customFormat="1" ht="12.75" customHeight="1" x14ac:dyDescent="0.2"/>
    <row r="1102" s="3" customFormat="1" ht="12.75" customHeight="1" x14ac:dyDescent="0.2"/>
    <row r="1103" s="3" customFormat="1" ht="12.75" customHeight="1" x14ac:dyDescent="0.2"/>
    <row r="1104" s="3" customFormat="1" ht="12.75" customHeight="1" x14ac:dyDescent="0.2"/>
    <row r="1105" s="3" customFormat="1" ht="12.75" customHeight="1" x14ac:dyDescent="0.2"/>
    <row r="1106" s="3" customFormat="1" ht="12.75" customHeight="1" x14ac:dyDescent="0.2"/>
    <row r="1107" s="3" customFormat="1" ht="12.75" customHeight="1" x14ac:dyDescent="0.2"/>
    <row r="1108" s="3" customFormat="1" ht="12.75" customHeight="1" x14ac:dyDescent="0.2"/>
    <row r="1109" s="3" customFormat="1" ht="12.75" customHeight="1" x14ac:dyDescent="0.2"/>
    <row r="1110" s="3" customFormat="1" ht="12.75" customHeight="1" x14ac:dyDescent="0.2"/>
    <row r="1111" s="3" customFormat="1" ht="12.75" customHeight="1" x14ac:dyDescent="0.2"/>
    <row r="1112" s="3" customFormat="1" ht="12.75" customHeight="1" x14ac:dyDescent="0.2"/>
    <row r="1113" s="3" customFormat="1" ht="12.75" customHeight="1" x14ac:dyDescent="0.2"/>
    <row r="1114" s="3" customFormat="1" ht="12.75" customHeight="1" x14ac:dyDescent="0.2"/>
    <row r="1115" s="3" customFormat="1" ht="12.75" customHeight="1" x14ac:dyDescent="0.2"/>
    <row r="1116" s="3" customFormat="1" ht="12.75" customHeight="1" x14ac:dyDescent="0.2"/>
    <row r="1117" s="3" customFormat="1" ht="12.75" customHeight="1" x14ac:dyDescent="0.2"/>
    <row r="1118" s="3" customFormat="1" ht="12.75" customHeight="1" x14ac:dyDescent="0.2"/>
    <row r="1119" s="3" customFormat="1" ht="12.75" customHeight="1" x14ac:dyDescent="0.2"/>
    <row r="1120" s="3" customFormat="1" ht="12.75" customHeight="1" x14ac:dyDescent="0.2"/>
    <row r="1121" s="3" customFormat="1" ht="12.75" customHeight="1" x14ac:dyDescent="0.2"/>
    <row r="1122" s="3" customFormat="1" ht="12.75" customHeight="1" x14ac:dyDescent="0.2"/>
    <row r="1123" s="3" customFormat="1" ht="12.75" customHeight="1" x14ac:dyDescent="0.2"/>
    <row r="1124" s="3" customFormat="1" ht="12.75" customHeight="1" x14ac:dyDescent="0.2"/>
    <row r="1125" s="3" customFormat="1" ht="12.75" customHeight="1" x14ac:dyDescent="0.2"/>
    <row r="1126" s="3" customFormat="1" ht="12.75" customHeight="1" x14ac:dyDescent="0.2"/>
    <row r="1127" s="3" customFormat="1" ht="12.75" customHeight="1" x14ac:dyDescent="0.2"/>
    <row r="1128" s="3" customFormat="1" ht="12.75" customHeight="1" x14ac:dyDescent="0.2"/>
    <row r="1129" s="3" customFormat="1" ht="12.75" customHeight="1" x14ac:dyDescent="0.2"/>
    <row r="1130" s="3" customFormat="1" ht="12.75" customHeight="1" x14ac:dyDescent="0.2"/>
    <row r="1131" s="3" customFormat="1" ht="12.75" customHeight="1" x14ac:dyDescent="0.2"/>
    <row r="1132" s="3" customFormat="1" ht="12.75" customHeight="1" x14ac:dyDescent="0.2"/>
    <row r="1133" s="3" customFormat="1" ht="12.75" customHeight="1" x14ac:dyDescent="0.2"/>
    <row r="1134" s="3" customFormat="1" ht="12.75" customHeight="1" x14ac:dyDescent="0.2"/>
    <row r="1135" s="3" customFormat="1" ht="12.75" customHeight="1" x14ac:dyDescent="0.2"/>
    <row r="1136" s="3" customFormat="1" ht="12.75" customHeight="1" x14ac:dyDescent="0.2"/>
    <row r="1137" s="3" customFormat="1" ht="12.75" customHeight="1" x14ac:dyDescent="0.2"/>
    <row r="1138" s="3" customFormat="1" ht="12.75" customHeight="1" x14ac:dyDescent="0.2"/>
    <row r="1139" s="3" customFormat="1" ht="12.75" customHeight="1" x14ac:dyDescent="0.2"/>
    <row r="1140" s="3" customFormat="1" ht="12.75" customHeight="1" x14ac:dyDescent="0.2"/>
    <row r="1141" s="3" customFormat="1" ht="12.75" customHeight="1" x14ac:dyDescent="0.2"/>
    <row r="1142" s="3" customFormat="1" ht="12.75" customHeight="1" x14ac:dyDescent="0.2"/>
    <row r="1143" s="3" customFormat="1" ht="12.75" customHeight="1" x14ac:dyDescent="0.2"/>
    <row r="1144" s="3" customFormat="1" ht="12.75" customHeight="1" x14ac:dyDescent="0.2"/>
    <row r="1145" s="3" customFormat="1" ht="12.75" customHeight="1" x14ac:dyDescent="0.2"/>
    <row r="1146" s="3" customFormat="1" ht="12.75" customHeight="1" x14ac:dyDescent="0.2"/>
    <row r="1147" s="3" customFormat="1" ht="12.75" customHeight="1" x14ac:dyDescent="0.2"/>
    <row r="1148" s="3" customFormat="1" ht="12.75" customHeight="1" x14ac:dyDescent="0.2"/>
    <row r="1149" s="3" customFormat="1" ht="12.75" customHeight="1" x14ac:dyDescent="0.2"/>
    <row r="1150" s="3" customFormat="1" ht="12.75" customHeight="1" x14ac:dyDescent="0.2"/>
    <row r="1151" s="3" customFormat="1" ht="12.75" customHeight="1" x14ac:dyDescent="0.2"/>
    <row r="1152" s="3" customFormat="1" ht="12.75" customHeight="1" x14ac:dyDescent="0.2"/>
    <row r="1153" s="3" customFormat="1" ht="12.75" customHeight="1" x14ac:dyDescent="0.2"/>
    <row r="1154" s="3" customFormat="1" ht="12.75" customHeight="1" x14ac:dyDescent="0.2"/>
    <row r="1155" s="3" customFormat="1" ht="12.75" customHeight="1" x14ac:dyDescent="0.2"/>
    <row r="1156" s="3" customFormat="1" ht="12.75" customHeight="1" x14ac:dyDescent="0.2"/>
    <row r="1157" s="3" customFormat="1" ht="12.75" customHeight="1" x14ac:dyDescent="0.2"/>
    <row r="1158" s="3" customFormat="1" ht="12.75" customHeight="1" x14ac:dyDescent="0.2"/>
    <row r="1159" s="3" customFormat="1" ht="12.75" customHeight="1" x14ac:dyDescent="0.2"/>
    <row r="1160" s="3" customFormat="1" ht="12.75" customHeight="1" x14ac:dyDescent="0.2"/>
    <row r="1161" s="3" customFormat="1" ht="12.75" customHeight="1" x14ac:dyDescent="0.2"/>
    <row r="1162" s="3" customFormat="1" ht="12.75" customHeight="1" x14ac:dyDescent="0.2"/>
    <row r="1163" s="3" customFormat="1" ht="12.75" customHeight="1" x14ac:dyDescent="0.2"/>
    <row r="1164" s="3" customFormat="1" ht="12.75" customHeight="1" x14ac:dyDescent="0.2"/>
    <row r="1165" s="3" customFormat="1" ht="12.75" customHeight="1" x14ac:dyDescent="0.2"/>
    <row r="1166" s="3" customFormat="1" ht="12.75" customHeight="1" x14ac:dyDescent="0.2"/>
    <row r="1167" s="3" customFormat="1" ht="12.75" customHeight="1" x14ac:dyDescent="0.2"/>
    <row r="1168" s="3" customFormat="1" ht="12.75" customHeight="1" x14ac:dyDescent="0.2"/>
    <row r="1169" s="3" customFormat="1" ht="12.75" customHeight="1" x14ac:dyDescent="0.2"/>
    <row r="1170" s="3" customFormat="1" ht="12.75" customHeight="1" x14ac:dyDescent="0.2"/>
    <row r="1171" s="3" customFormat="1" ht="12.75" customHeight="1" x14ac:dyDescent="0.2"/>
    <row r="1172" s="3" customFormat="1" ht="12.75" customHeight="1" x14ac:dyDescent="0.2"/>
    <row r="1173" s="3" customFormat="1" ht="12.75" customHeight="1" x14ac:dyDescent="0.2"/>
    <row r="1174" s="3" customFormat="1" ht="12.75" customHeight="1" x14ac:dyDescent="0.2"/>
    <row r="1175" s="3" customFormat="1" ht="12.75" customHeight="1" x14ac:dyDescent="0.2"/>
    <row r="1176" s="3" customFormat="1" ht="12.75" customHeight="1" x14ac:dyDescent="0.2"/>
    <row r="1177" s="3" customFormat="1" ht="12.75" customHeight="1" x14ac:dyDescent="0.2"/>
    <row r="1178" s="3" customFormat="1" ht="12.75" customHeight="1" x14ac:dyDescent="0.2"/>
    <row r="1179" s="3" customFormat="1" ht="12.75" customHeight="1" x14ac:dyDescent="0.2"/>
    <row r="1180" s="3" customFormat="1" ht="12.75" customHeight="1" x14ac:dyDescent="0.2"/>
    <row r="1181" s="3" customFormat="1" ht="12.75" customHeight="1" x14ac:dyDescent="0.2"/>
    <row r="1182" s="3" customFormat="1" ht="12.75" customHeight="1" x14ac:dyDescent="0.2"/>
    <row r="1183" s="3" customFormat="1" ht="12.75" customHeight="1" x14ac:dyDescent="0.2"/>
    <row r="1184" s="3" customFormat="1" ht="12.75" customHeight="1" x14ac:dyDescent="0.2"/>
    <row r="1185" s="3" customFormat="1" ht="12.75" customHeight="1" x14ac:dyDescent="0.2"/>
    <row r="1186" s="3" customFormat="1" ht="12.75" customHeight="1" x14ac:dyDescent="0.2"/>
    <row r="1187" s="3" customFormat="1" ht="12.75" customHeight="1" x14ac:dyDescent="0.2"/>
    <row r="1188" s="3" customFormat="1" ht="12.75" customHeight="1" x14ac:dyDescent="0.2"/>
    <row r="1189" s="3" customFormat="1" ht="12.75" customHeight="1" x14ac:dyDescent="0.2"/>
    <row r="1190" s="3" customFormat="1" ht="12.75" customHeight="1" x14ac:dyDescent="0.2"/>
    <row r="1191" s="3" customFormat="1" ht="12.75" customHeight="1" x14ac:dyDescent="0.2"/>
    <row r="1192" s="3" customFormat="1" ht="12.75" customHeight="1" x14ac:dyDescent="0.2"/>
    <row r="1193" s="3" customFormat="1" ht="12.75" customHeight="1" x14ac:dyDescent="0.2"/>
    <row r="1194" s="3" customFormat="1" ht="12.75" customHeight="1" x14ac:dyDescent="0.2"/>
    <row r="1195" s="3" customFormat="1" ht="12.75" customHeight="1" x14ac:dyDescent="0.2"/>
    <row r="1196" s="3" customFormat="1" ht="12.75" customHeight="1" x14ac:dyDescent="0.2"/>
    <row r="1197" s="3" customFormat="1" ht="12.75" customHeight="1" x14ac:dyDescent="0.2"/>
    <row r="1198" s="3" customFormat="1" ht="12.75" customHeight="1" x14ac:dyDescent="0.2"/>
    <row r="1199" s="3" customFormat="1" ht="12.75" customHeight="1" x14ac:dyDescent="0.2"/>
    <row r="1200" s="3" customFormat="1" ht="12.75" customHeight="1" x14ac:dyDescent="0.2"/>
    <row r="1201" s="3" customFormat="1" ht="12.75" customHeight="1" x14ac:dyDescent="0.2"/>
    <row r="1202" s="3" customFormat="1" ht="12.75" customHeight="1" x14ac:dyDescent="0.2"/>
    <row r="1203" s="3" customFormat="1" ht="12.75" customHeight="1" x14ac:dyDescent="0.2"/>
    <row r="1204" s="3" customFormat="1" ht="12.75" customHeight="1" x14ac:dyDescent="0.2"/>
    <row r="1205" s="3" customFormat="1" ht="12.75" customHeight="1" x14ac:dyDescent="0.2"/>
    <row r="1206" s="3" customFormat="1" ht="12.75" customHeight="1" x14ac:dyDescent="0.2"/>
    <row r="1207" s="3" customFormat="1" ht="12.75" customHeight="1" x14ac:dyDescent="0.2"/>
    <row r="1208" s="3" customFormat="1" ht="12.75" customHeight="1" x14ac:dyDescent="0.2"/>
    <row r="1209" s="3" customFormat="1" ht="12.75" customHeight="1" x14ac:dyDescent="0.2"/>
    <row r="1210" s="3" customFormat="1" ht="12.75" customHeight="1" x14ac:dyDescent="0.2"/>
    <row r="1211" s="3" customFormat="1" ht="12.75" customHeight="1" x14ac:dyDescent="0.2"/>
    <row r="1212" s="3" customFormat="1" ht="12.75" customHeight="1" x14ac:dyDescent="0.2"/>
    <row r="1213" s="3" customFormat="1" ht="12.75" customHeight="1" x14ac:dyDescent="0.2"/>
    <row r="1214" s="3" customFormat="1" ht="12.75" customHeight="1" x14ac:dyDescent="0.2"/>
    <row r="1215" s="3" customFormat="1" ht="12.75" customHeight="1" x14ac:dyDescent="0.2"/>
    <row r="1216" s="3" customFormat="1" ht="12.75" customHeight="1" x14ac:dyDescent="0.2"/>
    <row r="1217" s="3" customFormat="1" ht="12.75" customHeight="1" x14ac:dyDescent="0.2"/>
    <row r="1218" s="3" customFormat="1" ht="12.75" customHeight="1" x14ac:dyDescent="0.2"/>
    <row r="1219" s="3" customFormat="1" ht="12.75" customHeight="1" x14ac:dyDescent="0.2"/>
    <row r="1220" s="3" customFormat="1" ht="12.75" customHeight="1" x14ac:dyDescent="0.2"/>
    <row r="1221" s="3" customFormat="1" ht="12.75" customHeight="1" x14ac:dyDescent="0.2"/>
    <row r="1222" s="3" customFormat="1" ht="12.75" customHeight="1" x14ac:dyDescent="0.2"/>
    <row r="1223" s="3" customFormat="1" ht="12.75" customHeight="1" x14ac:dyDescent="0.2"/>
    <row r="1224" s="3" customFormat="1" ht="12.75" customHeight="1" x14ac:dyDescent="0.2"/>
    <row r="1225" s="3" customFormat="1" ht="12.75" customHeight="1" x14ac:dyDescent="0.2"/>
    <row r="1226" s="3" customFormat="1" ht="12.75" customHeight="1" x14ac:dyDescent="0.2"/>
    <row r="1227" s="3" customFormat="1" ht="12.75" customHeight="1" x14ac:dyDescent="0.2"/>
    <row r="1228" s="3" customFormat="1" ht="12.75" customHeight="1" x14ac:dyDescent="0.2"/>
    <row r="1229" s="3" customFormat="1" ht="12.75" customHeight="1" x14ac:dyDescent="0.2"/>
    <row r="1230" s="3" customFormat="1" ht="12.75" customHeight="1" x14ac:dyDescent="0.2"/>
    <row r="1231" s="3" customFormat="1" ht="12.75" customHeight="1" x14ac:dyDescent="0.2"/>
    <row r="1232" s="3" customFormat="1" ht="12.75" customHeight="1" x14ac:dyDescent="0.2"/>
    <row r="1233" s="3" customFormat="1" ht="12.75" customHeight="1" x14ac:dyDescent="0.2"/>
    <row r="1234" s="3" customFormat="1" ht="12.75" customHeight="1" x14ac:dyDescent="0.2"/>
    <row r="1235" s="3" customFormat="1" ht="12.75" customHeight="1" x14ac:dyDescent="0.2"/>
    <row r="1236" s="3" customFormat="1" ht="12.75" customHeight="1" x14ac:dyDescent="0.2"/>
    <row r="1237" s="3" customFormat="1" ht="12.75" customHeight="1" x14ac:dyDescent="0.2"/>
    <row r="1238" s="3" customFormat="1" ht="12.75" customHeight="1" x14ac:dyDescent="0.2"/>
    <row r="1239" s="3" customFormat="1" ht="12.75" customHeight="1" x14ac:dyDescent="0.2"/>
    <row r="1240" s="3" customFormat="1" ht="12.75" customHeight="1" x14ac:dyDescent="0.2"/>
    <row r="1241" s="3" customFormat="1" ht="12.75" customHeight="1" x14ac:dyDescent="0.2"/>
    <row r="1242" s="3" customFormat="1" ht="12.75" customHeight="1" x14ac:dyDescent="0.2"/>
    <row r="1243" s="3" customFormat="1" ht="12.75" customHeight="1" x14ac:dyDescent="0.2"/>
    <row r="1244" s="3" customFormat="1" ht="12.75" customHeight="1" x14ac:dyDescent="0.2"/>
    <row r="1245" s="3" customFormat="1" ht="12.75" customHeight="1" x14ac:dyDescent="0.2"/>
    <row r="1246" s="3" customFormat="1" ht="12.75" customHeight="1" x14ac:dyDescent="0.2"/>
    <row r="1247" s="3" customFormat="1" ht="12.75" customHeight="1" x14ac:dyDescent="0.2"/>
    <row r="1248" s="3" customFormat="1" ht="12.75" customHeight="1" x14ac:dyDescent="0.2"/>
    <row r="1249" s="3" customFormat="1" ht="12.75" customHeight="1" x14ac:dyDescent="0.2"/>
    <row r="1250" s="3" customFormat="1" ht="12.75" customHeight="1" x14ac:dyDescent="0.2"/>
    <row r="1251" s="3" customFormat="1" ht="12.75" customHeight="1" x14ac:dyDescent="0.2"/>
    <row r="1252" s="3" customFormat="1" ht="12.75" customHeight="1" x14ac:dyDescent="0.2"/>
    <row r="1253" s="3" customFormat="1" ht="12.75" customHeight="1" x14ac:dyDescent="0.2"/>
    <row r="1254" s="3" customFormat="1" ht="12.75" customHeight="1" x14ac:dyDescent="0.2"/>
    <row r="1255" s="3" customFormat="1" ht="12.75" customHeight="1" x14ac:dyDescent="0.2"/>
    <row r="1256" s="3" customFormat="1" ht="12.75" customHeight="1" x14ac:dyDescent="0.2"/>
    <row r="1257" s="3" customFormat="1" ht="12.75" customHeight="1" x14ac:dyDescent="0.2"/>
    <row r="1258" s="3" customFormat="1" ht="12.75" customHeight="1" x14ac:dyDescent="0.2"/>
    <row r="1259" s="3" customFormat="1" ht="12.75" customHeight="1" x14ac:dyDescent="0.2"/>
    <row r="1260" s="3" customFormat="1" ht="12.75" customHeight="1" x14ac:dyDescent="0.2"/>
    <row r="1261" s="3" customFormat="1" ht="12.75" customHeight="1" x14ac:dyDescent="0.2"/>
    <row r="1262" s="3" customFormat="1" ht="12.75" customHeight="1" x14ac:dyDescent="0.2"/>
    <row r="1263" s="3" customFormat="1" ht="12.75" customHeight="1" x14ac:dyDescent="0.2"/>
    <row r="1264" s="3" customFormat="1" ht="12.75" customHeight="1" x14ac:dyDescent="0.2"/>
    <row r="1265" s="3" customFormat="1" ht="12.75" customHeight="1" x14ac:dyDescent="0.2"/>
    <row r="1266" s="3" customFormat="1" ht="12.75" customHeight="1" x14ac:dyDescent="0.2"/>
    <row r="1267" s="3" customFormat="1" ht="12.75" customHeight="1" x14ac:dyDescent="0.2"/>
    <row r="1268" s="3" customFormat="1" ht="12.75" customHeight="1" x14ac:dyDescent="0.2"/>
    <row r="1269" s="3" customFormat="1" ht="12.75" customHeight="1" x14ac:dyDescent="0.2"/>
    <row r="1270" s="3" customFormat="1" ht="12.75" customHeight="1" x14ac:dyDescent="0.2"/>
    <row r="1271" s="3" customFormat="1" ht="12.75" customHeight="1" x14ac:dyDescent="0.2"/>
    <row r="1272" s="3" customFormat="1" ht="12.75" customHeight="1" x14ac:dyDescent="0.2"/>
    <row r="1273" s="3" customFormat="1" ht="12.75" customHeight="1" x14ac:dyDescent="0.2"/>
    <row r="1274" s="3" customFormat="1" ht="12.75" customHeight="1" x14ac:dyDescent="0.2"/>
    <row r="1275" s="3" customFormat="1" ht="12.75" customHeight="1" x14ac:dyDescent="0.2"/>
    <row r="1276" s="3" customFormat="1" ht="12.75" customHeight="1" x14ac:dyDescent="0.2"/>
    <row r="1277" s="3" customFormat="1" ht="12.75" customHeight="1" x14ac:dyDescent="0.2"/>
    <row r="1278" s="3" customFormat="1" ht="12.75" customHeight="1" x14ac:dyDescent="0.2"/>
    <row r="1279" s="3" customFormat="1" ht="12.75" customHeight="1" x14ac:dyDescent="0.2"/>
    <row r="1280" s="3" customFormat="1" ht="12.75" customHeight="1" x14ac:dyDescent="0.2"/>
    <row r="1281" s="3" customFormat="1" ht="12.75" customHeight="1" x14ac:dyDescent="0.2"/>
    <row r="1282" s="3" customFormat="1" ht="12.75" customHeight="1" x14ac:dyDescent="0.2"/>
    <row r="1283" s="3" customFormat="1" ht="12.75" customHeight="1" x14ac:dyDescent="0.2"/>
    <row r="1284" s="3" customFormat="1" ht="12.75" customHeight="1" x14ac:dyDescent="0.2"/>
    <row r="1285" s="3" customFormat="1" ht="12.75" customHeight="1" x14ac:dyDescent="0.2"/>
    <row r="1286" s="3" customFormat="1" ht="12.75" customHeight="1" x14ac:dyDescent="0.2"/>
    <row r="1287" s="3" customFormat="1" ht="12.75" customHeight="1" x14ac:dyDescent="0.2"/>
    <row r="1288" s="3" customFormat="1" ht="12.75" customHeight="1" x14ac:dyDescent="0.2"/>
    <row r="1289" s="3" customFormat="1" ht="12.75" customHeight="1" x14ac:dyDescent="0.2"/>
    <row r="1290" s="3" customFormat="1" ht="12.75" customHeight="1" x14ac:dyDescent="0.2"/>
    <row r="1291" s="3" customFormat="1" ht="12.75" customHeight="1" x14ac:dyDescent="0.2"/>
    <row r="1292" s="3" customFormat="1" ht="12.75" customHeight="1" x14ac:dyDescent="0.2"/>
    <row r="1293" s="3" customFormat="1" ht="12.75" customHeight="1" x14ac:dyDescent="0.2"/>
    <row r="1294" s="3" customFormat="1" ht="12.75" customHeight="1" x14ac:dyDescent="0.2"/>
    <row r="1295" s="3" customFormat="1" ht="12.75" customHeight="1" x14ac:dyDescent="0.2"/>
    <row r="1296" s="3" customFormat="1" ht="12.75" customHeight="1" x14ac:dyDescent="0.2"/>
    <row r="1297" s="3" customFormat="1" ht="12.75" customHeight="1" x14ac:dyDescent="0.2"/>
    <row r="1298" s="3" customFormat="1" ht="12.75" customHeight="1" x14ac:dyDescent="0.2"/>
    <row r="1299" s="3" customFormat="1" ht="12.75" customHeight="1" x14ac:dyDescent="0.2"/>
    <row r="1300" s="3" customFormat="1" ht="12.75" customHeight="1" x14ac:dyDescent="0.2"/>
    <row r="1301" s="3" customFormat="1" ht="12.75" customHeight="1" x14ac:dyDescent="0.2"/>
    <row r="1302" s="3" customFormat="1" ht="12.75" customHeight="1" x14ac:dyDescent="0.2"/>
    <row r="1303" s="3" customFormat="1" ht="12.75" customHeight="1" x14ac:dyDescent="0.2"/>
    <row r="1304" s="3" customFormat="1" ht="12.75" customHeight="1" x14ac:dyDescent="0.2"/>
    <row r="1305" s="3" customFormat="1" ht="12.75" customHeight="1" x14ac:dyDescent="0.2"/>
    <row r="1306" s="3" customFormat="1" ht="12.75" customHeight="1" x14ac:dyDescent="0.2"/>
    <row r="1307" s="3" customFormat="1" ht="12.75" customHeight="1" x14ac:dyDescent="0.2"/>
    <row r="1308" s="3" customFormat="1" ht="12.75" customHeight="1" x14ac:dyDescent="0.2"/>
    <row r="1309" s="3" customFormat="1" ht="12.75" customHeight="1" x14ac:dyDescent="0.2"/>
    <row r="1310" s="3" customFormat="1" ht="12.75" customHeight="1" x14ac:dyDescent="0.2"/>
    <row r="1311" s="3" customFormat="1" ht="12.75" customHeight="1" x14ac:dyDescent="0.2"/>
    <row r="1312" s="3" customFormat="1" ht="12.75" customHeight="1" x14ac:dyDescent="0.2"/>
    <row r="1313" s="3" customFormat="1" ht="12.75" customHeight="1" x14ac:dyDescent="0.2"/>
    <row r="1314" s="3" customFormat="1" ht="12.75" customHeight="1" x14ac:dyDescent="0.2"/>
    <row r="1315" s="3" customFormat="1" ht="12.75" customHeight="1" x14ac:dyDescent="0.2"/>
    <row r="1316" s="3" customFormat="1" ht="12.75" customHeight="1" x14ac:dyDescent="0.2"/>
    <row r="1317" s="3" customFormat="1" ht="12.75" customHeight="1" x14ac:dyDescent="0.2"/>
    <row r="1318" s="3" customFormat="1" ht="12.75" customHeight="1" x14ac:dyDescent="0.2"/>
    <row r="1319" s="3" customFormat="1" ht="12.75" customHeight="1" x14ac:dyDescent="0.2"/>
    <row r="1320" s="3" customFormat="1" ht="12.75" customHeight="1" x14ac:dyDescent="0.2"/>
    <row r="1321" s="3" customFormat="1" ht="12.75" customHeight="1" x14ac:dyDescent="0.2"/>
    <row r="1322" s="3" customFormat="1" ht="12.75" customHeight="1" x14ac:dyDescent="0.2"/>
    <row r="1323" s="3" customFormat="1" ht="12.75" customHeight="1" x14ac:dyDescent="0.2"/>
    <row r="1324" s="3" customFormat="1" ht="12.75" customHeight="1" x14ac:dyDescent="0.2"/>
    <row r="1325" s="3" customFormat="1" ht="12.75" customHeight="1" x14ac:dyDescent="0.2"/>
    <row r="1326" s="3" customFormat="1" ht="12.75" customHeight="1" x14ac:dyDescent="0.2"/>
    <row r="1327" s="3" customFormat="1" ht="12.75" customHeight="1" x14ac:dyDescent="0.2"/>
    <row r="1328" s="3" customFormat="1" ht="12.75" customHeight="1" x14ac:dyDescent="0.2"/>
    <row r="1329" s="3" customFormat="1" ht="12.75" customHeight="1" x14ac:dyDescent="0.2"/>
    <row r="1330" s="3" customFormat="1" ht="12.75" customHeight="1" x14ac:dyDescent="0.2"/>
    <row r="1331" s="3" customFormat="1" ht="12.75" customHeight="1" x14ac:dyDescent="0.2"/>
    <row r="1332" s="3" customFormat="1" ht="12.75" customHeight="1" x14ac:dyDescent="0.2"/>
    <row r="1333" s="3" customFormat="1" ht="12.75" customHeight="1" x14ac:dyDescent="0.2"/>
    <row r="1334" s="3" customFormat="1" ht="12.75" customHeight="1" x14ac:dyDescent="0.2"/>
    <row r="1335" s="3" customFormat="1" ht="12.75" customHeight="1" x14ac:dyDescent="0.2"/>
    <row r="1336" s="3" customFormat="1" ht="12.75" customHeight="1" x14ac:dyDescent="0.2"/>
    <row r="1337" s="3" customFormat="1" ht="12.75" customHeight="1" x14ac:dyDescent="0.2"/>
    <row r="1338" s="3" customFormat="1" ht="12.75" customHeight="1" x14ac:dyDescent="0.2"/>
    <row r="1339" s="3" customFormat="1" ht="12.75" customHeight="1" x14ac:dyDescent="0.2"/>
    <row r="1340" s="3" customFormat="1" ht="12.75" customHeight="1" x14ac:dyDescent="0.2"/>
    <row r="1341" s="3" customFormat="1" ht="12.75" customHeight="1" x14ac:dyDescent="0.2"/>
    <row r="1342" s="3" customFormat="1" ht="12.75" customHeight="1" x14ac:dyDescent="0.2"/>
    <row r="1343" s="3" customFormat="1" ht="12.75" customHeight="1" x14ac:dyDescent="0.2"/>
    <row r="1344" s="3" customFormat="1" ht="12.75" customHeight="1" x14ac:dyDescent="0.2"/>
    <row r="1345" s="3" customFormat="1" ht="12.75" customHeight="1" x14ac:dyDescent="0.2"/>
    <row r="1346" s="3" customFormat="1" ht="12.75" customHeight="1" x14ac:dyDescent="0.2"/>
    <row r="1347" s="3" customFormat="1" ht="12.75" customHeight="1" x14ac:dyDescent="0.2"/>
    <row r="1348" s="3" customFormat="1" ht="12.75" customHeight="1" x14ac:dyDescent="0.2"/>
    <row r="1349" s="3" customFormat="1" ht="12.75" customHeight="1" x14ac:dyDescent="0.2"/>
    <row r="1350" s="3" customFormat="1" ht="12.75" customHeight="1" x14ac:dyDescent="0.2"/>
    <row r="1351" s="3" customFormat="1" ht="12.75" customHeight="1" x14ac:dyDescent="0.2"/>
    <row r="1352" s="3" customFormat="1" ht="12.75" customHeight="1" x14ac:dyDescent="0.2"/>
    <row r="1353" s="3" customFormat="1" ht="12.75" customHeight="1" x14ac:dyDescent="0.2"/>
    <row r="1354" s="3" customFormat="1" ht="12.75" customHeight="1" x14ac:dyDescent="0.2"/>
    <row r="1355" s="3" customFormat="1" ht="12.75" customHeight="1" x14ac:dyDescent="0.2"/>
    <row r="1356" s="3" customFormat="1" ht="12.75" customHeight="1" x14ac:dyDescent="0.2"/>
    <row r="1357" s="3" customFormat="1" ht="12.75" customHeight="1" x14ac:dyDescent="0.2"/>
    <row r="1358" s="3" customFormat="1" ht="12.75" customHeight="1" x14ac:dyDescent="0.2"/>
    <row r="1359" s="3" customFormat="1" ht="12.75" customHeight="1" x14ac:dyDescent="0.2"/>
    <row r="1360" s="3" customFormat="1" ht="12.75" customHeight="1" x14ac:dyDescent="0.2"/>
    <row r="1361" s="3" customFormat="1" ht="12.75" customHeight="1" x14ac:dyDescent="0.2"/>
    <row r="1362" s="3" customFormat="1" ht="12.75" customHeight="1" x14ac:dyDescent="0.2"/>
    <row r="1363" s="3" customFormat="1" ht="12.75" customHeight="1" x14ac:dyDescent="0.2"/>
    <row r="1364" s="3" customFormat="1" ht="12.75" customHeight="1" x14ac:dyDescent="0.2"/>
    <row r="1365" s="3" customFormat="1" ht="12.75" customHeight="1" x14ac:dyDescent="0.2"/>
    <row r="1366" s="3" customFormat="1" ht="12.75" customHeight="1" x14ac:dyDescent="0.2"/>
    <row r="1367" s="3" customFormat="1" ht="12.75" customHeight="1" x14ac:dyDescent="0.2"/>
    <row r="1368" s="3" customFormat="1" ht="12.75" customHeight="1" x14ac:dyDescent="0.2"/>
    <row r="1369" s="3" customFormat="1" ht="12.75" customHeight="1" x14ac:dyDescent="0.2"/>
    <row r="1370" s="3" customFormat="1" ht="12.75" customHeight="1" x14ac:dyDescent="0.2"/>
    <row r="1371" s="3" customFormat="1" ht="12.75" customHeight="1" x14ac:dyDescent="0.2"/>
    <row r="1372" s="3" customFormat="1" ht="12.75" customHeight="1" x14ac:dyDescent="0.2"/>
    <row r="1373" s="3" customFormat="1" ht="12.75" customHeight="1" x14ac:dyDescent="0.2"/>
    <row r="1374" s="3" customFormat="1" ht="12.75" customHeight="1" x14ac:dyDescent="0.2"/>
    <row r="1375" s="3" customFormat="1" ht="12.75" customHeight="1" x14ac:dyDescent="0.2"/>
    <row r="1376" s="3" customFormat="1" ht="12.75" customHeight="1" x14ac:dyDescent="0.2"/>
    <row r="1377" s="3" customFormat="1" ht="12.75" customHeight="1" x14ac:dyDescent="0.2"/>
    <row r="1378" s="3" customFormat="1" ht="12.75" customHeight="1" x14ac:dyDescent="0.2"/>
    <row r="1379" s="3" customFormat="1" ht="12.75" customHeight="1" x14ac:dyDescent="0.2"/>
    <row r="1380" s="3" customFormat="1" ht="12.75" customHeight="1" x14ac:dyDescent="0.2"/>
    <row r="1381" s="3" customFormat="1" ht="12.75" customHeight="1" x14ac:dyDescent="0.2"/>
    <row r="1382" s="3" customFormat="1" ht="12.75" customHeight="1" x14ac:dyDescent="0.2"/>
    <row r="1383" s="3" customFormat="1" ht="12.75" customHeight="1" x14ac:dyDescent="0.2"/>
    <row r="1384" s="3" customFormat="1" ht="12.75" customHeight="1" x14ac:dyDescent="0.2"/>
    <row r="1385" s="3" customFormat="1" ht="12.75" customHeight="1" x14ac:dyDescent="0.2"/>
    <row r="1386" s="3" customFormat="1" ht="12.75" customHeight="1" x14ac:dyDescent="0.2"/>
    <row r="1387" s="3" customFormat="1" ht="12.75" customHeight="1" x14ac:dyDescent="0.2"/>
    <row r="1388" s="3" customFormat="1" ht="12.75" customHeight="1" x14ac:dyDescent="0.2"/>
    <row r="1389" s="3" customFormat="1" ht="12.75" customHeight="1" x14ac:dyDescent="0.2"/>
    <row r="1390" s="3" customFormat="1" ht="12.75" customHeight="1" x14ac:dyDescent="0.2"/>
    <row r="1391" s="3" customFormat="1" ht="12.75" customHeight="1" x14ac:dyDescent="0.2"/>
    <row r="1392" s="3" customFormat="1" ht="12.75" customHeight="1" x14ac:dyDescent="0.2"/>
    <row r="1393" s="3" customFormat="1" ht="12.75" customHeight="1" x14ac:dyDescent="0.2"/>
    <row r="1394" s="3" customFormat="1" ht="12.75" customHeight="1" x14ac:dyDescent="0.2"/>
    <row r="1395" s="3" customFormat="1" ht="12.75" customHeight="1" x14ac:dyDescent="0.2"/>
    <row r="1396" s="3" customFormat="1" ht="12.75" customHeight="1" x14ac:dyDescent="0.2"/>
    <row r="1397" s="3" customFormat="1" ht="12.75" customHeight="1" x14ac:dyDescent="0.2"/>
    <row r="1398" s="3" customFormat="1" ht="12.75" customHeight="1" x14ac:dyDescent="0.2"/>
    <row r="1399" s="3" customFormat="1" ht="12.75" customHeight="1" x14ac:dyDescent="0.2"/>
    <row r="1400" s="3" customFormat="1" ht="12.75" customHeight="1" x14ac:dyDescent="0.2"/>
    <row r="1401" s="3" customFormat="1" ht="12.75" customHeight="1" x14ac:dyDescent="0.2"/>
    <row r="1402" s="3" customFormat="1" ht="12.75" customHeight="1" x14ac:dyDescent="0.2"/>
    <row r="1403" s="3" customFormat="1" ht="12.75" customHeight="1" x14ac:dyDescent="0.2"/>
    <row r="1404" s="3" customFormat="1" ht="12.75" customHeight="1" x14ac:dyDescent="0.2"/>
    <row r="1405" s="3" customFormat="1" ht="12.75" customHeight="1" x14ac:dyDescent="0.2"/>
    <row r="1406" s="3" customFormat="1" ht="12.75" customHeight="1" x14ac:dyDescent="0.2"/>
    <row r="1407" s="3" customFormat="1" ht="12.75" customHeight="1" x14ac:dyDescent="0.2"/>
    <row r="1408" s="3" customFormat="1" ht="12.75" customHeight="1" x14ac:dyDescent="0.2"/>
    <row r="1409" s="3" customFormat="1" ht="12.75" customHeight="1" x14ac:dyDescent="0.2"/>
    <row r="1410" s="3" customFormat="1" ht="12.75" customHeight="1" x14ac:dyDescent="0.2"/>
    <row r="1411" s="3" customFormat="1" ht="12.75" customHeight="1" x14ac:dyDescent="0.2"/>
    <row r="1412" s="3" customFormat="1" ht="12.75" customHeight="1" x14ac:dyDescent="0.2"/>
    <row r="1413" s="3" customFormat="1" ht="12.75" customHeight="1" x14ac:dyDescent="0.2"/>
    <row r="1414" s="3" customFormat="1" ht="12.75" customHeight="1" x14ac:dyDescent="0.2"/>
    <row r="1415" s="3" customFormat="1" ht="12.75" customHeight="1" x14ac:dyDescent="0.2"/>
    <row r="1416" s="3" customFormat="1" ht="12.75" customHeight="1" x14ac:dyDescent="0.2"/>
    <row r="1417" s="3" customFormat="1" ht="12.75" customHeight="1" x14ac:dyDescent="0.2"/>
    <row r="1418" s="3" customFormat="1" ht="12.75" customHeight="1" x14ac:dyDescent="0.2"/>
    <row r="1419" s="3" customFormat="1" ht="12.75" customHeight="1" x14ac:dyDescent="0.2"/>
    <row r="1420" s="3" customFormat="1" ht="12.75" customHeight="1" x14ac:dyDescent="0.2"/>
    <row r="1421" s="3" customFormat="1" ht="12.75" customHeight="1" x14ac:dyDescent="0.2"/>
    <row r="1422" s="3" customFormat="1" ht="12.75" customHeight="1" x14ac:dyDescent="0.2"/>
    <row r="1423" s="3" customFormat="1" ht="12.75" customHeight="1" x14ac:dyDescent="0.2"/>
    <row r="1424" s="3" customFormat="1" ht="12.75" customHeight="1" x14ac:dyDescent="0.2"/>
    <row r="1425" s="3" customFormat="1" ht="12.75" customHeight="1" x14ac:dyDescent="0.2"/>
    <row r="1426" s="3" customFormat="1" ht="12.75" customHeight="1" x14ac:dyDescent="0.2"/>
    <row r="1427" s="3" customFormat="1" ht="12.75" customHeight="1" x14ac:dyDescent="0.2"/>
    <row r="1428" s="3" customFormat="1" ht="12.75" customHeight="1" x14ac:dyDescent="0.2"/>
    <row r="1429" s="3" customFormat="1" ht="12.75" customHeight="1" x14ac:dyDescent="0.2"/>
    <row r="1430" s="3" customFormat="1" ht="12.75" customHeight="1" x14ac:dyDescent="0.2"/>
    <row r="1431" s="3" customFormat="1" ht="12.75" customHeight="1" x14ac:dyDescent="0.2"/>
    <row r="1432" s="3" customFormat="1" ht="12.75" customHeight="1" x14ac:dyDescent="0.2"/>
    <row r="1433" s="3" customFormat="1" ht="12.75" customHeight="1" x14ac:dyDescent="0.2"/>
    <row r="1434" s="3" customFormat="1" ht="12.75" customHeight="1" x14ac:dyDescent="0.2"/>
    <row r="1435" s="3" customFormat="1" ht="12.75" customHeight="1" x14ac:dyDescent="0.2"/>
    <row r="1436" s="3" customFormat="1" ht="12.75" customHeight="1" x14ac:dyDescent="0.2"/>
    <row r="1437" s="3" customFormat="1" ht="12.75" customHeight="1" x14ac:dyDescent="0.2"/>
    <row r="1438" s="3" customFormat="1" ht="12.75" customHeight="1" x14ac:dyDescent="0.2"/>
    <row r="1439" s="3" customFormat="1" ht="12.75" customHeight="1" x14ac:dyDescent="0.2"/>
    <row r="1440" s="3" customFormat="1" ht="12.75" customHeight="1" x14ac:dyDescent="0.2"/>
    <row r="1441" s="3" customFormat="1" ht="12.75" customHeight="1" x14ac:dyDescent="0.2"/>
    <row r="1442" s="3" customFormat="1" ht="12.75" customHeight="1" x14ac:dyDescent="0.2"/>
    <row r="1443" s="3" customFormat="1" ht="12.75" customHeight="1" x14ac:dyDescent="0.2"/>
    <row r="1444" s="3" customFormat="1" ht="12.75" customHeight="1" x14ac:dyDescent="0.2"/>
    <row r="1445" s="3" customFormat="1" ht="12.75" customHeight="1" x14ac:dyDescent="0.2"/>
    <row r="1446" s="3" customFormat="1" ht="12.75" customHeight="1" x14ac:dyDescent="0.2"/>
    <row r="1447" s="3" customFormat="1" ht="12.75" customHeight="1" x14ac:dyDescent="0.2"/>
    <row r="1448" s="3" customFormat="1" ht="12.75" customHeight="1" x14ac:dyDescent="0.2"/>
    <row r="1449" s="3" customFormat="1" ht="12.75" customHeight="1" x14ac:dyDescent="0.2"/>
    <row r="1450" s="3" customFormat="1" ht="12.75" customHeight="1" x14ac:dyDescent="0.2"/>
    <row r="1451" s="3" customFormat="1" ht="12.75" customHeight="1" x14ac:dyDescent="0.2"/>
    <row r="1452" s="3" customFormat="1" ht="12.75" customHeight="1" x14ac:dyDescent="0.2"/>
    <row r="1453" s="3" customFormat="1" ht="12.75" customHeight="1" x14ac:dyDescent="0.2"/>
    <row r="1454" s="3" customFormat="1" ht="12.75" customHeight="1" x14ac:dyDescent="0.2"/>
    <row r="1455" s="3" customFormat="1" ht="12.75" customHeight="1" x14ac:dyDescent="0.2"/>
    <row r="1456" s="3" customFormat="1" ht="12.75" customHeight="1" x14ac:dyDescent="0.2"/>
    <row r="1457" s="3" customFormat="1" ht="12.75" customHeight="1" x14ac:dyDescent="0.2"/>
    <row r="1458" s="3" customFormat="1" ht="12.75" customHeight="1" x14ac:dyDescent="0.2"/>
    <row r="1459" s="3" customFormat="1" ht="12.75" customHeight="1" x14ac:dyDescent="0.2"/>
    <row r="1460" s="3" customFormat="1" ht="12.75" customHeight="1" x14ac:dyDescent="0.2"/>
    <row r="1461" s="3" customFormat="1" ht="12.75" customHeight="1" x14ac:dyDescent="0.2"/>
    <row r="1462" s="3" customFormat="1" ht="12.75" customHeight="1" x14ac:dyDescent="0.2"/>
    <row r="1463" s="3" customFormat="1" ht="12.75" customHeight="1" x14ac:dyDescent="0.2"/>
    <row r="1464" s="3" customFormat="1" ht="12.75" customHeight="1" x14ac:dyDescent="0.2"/>
    <row r="1465" s="3" customFormat="1" ht="12.75" customHeight="1" x14ac:dyDescent="0.2"/>
    <row r="1466" s="3" customFormat="1" ht="12.75" customHeight="1" x14ac:dyDescent="0.2"/>
    <row r="1467" s="3" customFormat="1" ht="12.75" customHeight="1" x14ac:dyDescent="0.2"/>
    <row r="1468" s="3" customFormat="1" ht="12.75" customHeight="1" x14ac:dyDescent="0.2"/>
    <row r="1469" s="3" customFormat="1" ht="12.75" customHeight="1" x14ac:dyDescent="0.2"/>
    <row r="1470" s="3" customFormat="1" ht="12.75" customHeight="1" x14ac:dyDescent="0.2"/>
    <row r="1471" s="3" customFormat="1" ht="12.75" customHeight="1" x14ac:dyDescent="0.2"/>
    <row r="1472" s="3" customFormat="1" ht="12.75" customHeight="1" x14ac:dyDescent="0.2"/>
    <row r="1473" s="3" customFormat="1" ht="12.75" customHeight="1" x14ac:dyDescent="0.2"/>
    <row r="1474" s="3" customFormat="1" ht="12.75" customHeight="1" x14ac:dyDescent="0.2"/>
    <row r="1475" s="3" customFormat="1" ht="12.75" customHeight="1" x14ac:dyDescent="0.2"/>
    <row r="1476" s="3" customFormat="1" ht="12.75" customHeight="1" x14ac:dyDescent="0.2"/>
    <row r="1477" s="3" customFormat="1" ht="12.75" customHeight="1" x14ac:dyDescent="0.2"/>
    <row r="1478" s="3" customFormat="1" ht="12.75" customHeight="1" x14ac:dyDescent="0.2"/>
    <row r="1479" s="3" customFormat="1" ht="12.75" customHeight="1" x14ac:dyDescent="0.2"/>
    <row r="1480" s="3" customFormat="1" ht="12.75" customHeight="1" x14ac:dyDescent="0.2"/>
    <row r="1481" s="3" customFormat="1" ht="12.75" customHeight="1" x14ac:dyDescent="0.2"/>
    <row r="1482" s="3" customFormat="1" ht="12.75" customHeight="1" x14ac:dyDescent="0.2"/>
    <row r="1483" s="3" customFormat="1" ht="12.75" customHeight="1" x14ac:dyDescent="0.2"/>
    <row r="1484" s="3" customFormat="1" ht="12.75" customHeight="1" x14ac:dyDescent="0.2"/>
    <row r="1485" s="3" customFormat="1" ht="12.75" customHeight="1" x14ac:dyDescent="0.2"/>
    <row r="1486" s="3" customFormat="1" ht="12.75" customHeight="1" x14ac:dyDescent="0.2"/>
    <row r="1487" s="3" customFormat="1" ht="12.75" customHeight="1" x14ac:dyDescent="0.2"/>
    <row r="1488" s="3" customFormat="1" ht="12.75" customHeight="1" x14ac:dyDescent="0.2"/>
    <row r="1489" s="3" customFormat="1" ht="12.75" customHeight="1" x14ac:dyDescent="0.2"/>
    <row r="1490" s="3" customFormat="1" ht="12.75" customHeight="1" x14ac:dyDescent="0.2"/>
    <row r="1491" s="3" customFormat="1" ht="12.75" customHeight="1" x14ac:dyDescent="0.2"/>
    <row r="1492" s="3" customFormat="1" ht="12.75" customHeight="1" x14ac:dyDescent="0.2"/>
    <row r="1493" s="3" customFormat="1" ht="12.75" customHeight="1" x14ac:dyDescent="0.2"/>
    <row r="1494" s="3" customFormat="1" ht="12.75" customHeight="1" x14ac:dyDescent="0.2"/>
    <row r="1495" s="3" customFormat="1" ht="12.75" customHeight="1" x14ac:dyDescent="0.2"/>
    <row r="1496" s="3" customFormat="1" ht="12.75" customHeight="1" x14ac:dyDescent="0.2"/>
    <row r="1497" s="3" customFormat="1" ht="12.75" customHeight="1" x14ac:dyDescent="0.2"/>
    <row r="1498" s="3" customFormat="1" ht="12.75" customHeight="1" x14ac:dyDescent="0.2"/>
    <row r="1499" s="3" customFormat="1" ht="12.75" customHeight="1" x14ac:dyDescent="0.2"/>
    <row r="1500" s="3" customFormat="1" ht="12.75" customHeight="1" x14ac:dyDescent="0.2"/>
    <row r="1501" s="3" customFormat="1" ht="12.75" customHeight="1" x14ac:dyDescent="0.2"/>
    <row r="1502" s="3" customFormat="1" ht="12.75" customHeight="1" x14ac:dyDescent="0.2"/>
    <row r="1503" s="3" customFormat="1" ht="12.75" customHeight="1" x14ac:dyDescent="0.2"/>
    <row r="1504" s="3" customFormat="1" ht="12.75" customHeight="1" x14ac:dyDescent="0.2"/>
    <row r="1505" s="3" customFormat="1" ht="12.75" customHeight="1" x14ac:dyDescent="0.2"/>
    <row r="1506" s="3" customFormat="1" ht="12.75" customHeight="1" x14ac:dyDescent="0.2"/>
    <row r="1507" s="3" customFormat="1" ht="12.75" customHeight="1" x14ac:dyDescent="0.2"/>
    <row r="1508" s="3" customFormat="1" ht="12.75" customHeight="1" x14ac:dyDescent="0.2"/>
    <row r="1509" s="3" customFormat="1" ht="12.75" customHeight="1" x14ac:dyDescent="0.2"/>
    <row r="1510" s="3" customFormat="1" ht="12.75" customHeight="1" x14ac:dyDescent="0.2"/>
    <row r="1511" s="3" customFormat="1" ht="12.75" customHeight="1" x14ac:dyDescent="0.2"/>
    <row r="1512" s="3" customFormat="1" ht="12.75" customHeight="1" x14ac:dyDescent="0.2"/>
    <row r="1513" s="3" customFormat="1" ht="12.75" customHeight="1" x14ac:dyDescent="0.2"/>
    <row r="1514" s="3" customFormat="1" ht="12.75" customHeight="1" x14ac:dyDescent="0.2"/>
    <row r="1515" s="3" customFormat="1" ht="12.75" customHeight="1" x14ac:dyDescent="0.2"/>
    <row r="1516" s="3" customFormat="1" ht="12.75" customHeight="1" x14ac:dyDescent="0.2"/>
    <row r="1517" s="3" customFormat="1" ht="12.75" customHeight="1" x14ac:dyDescent="0.2"/>
    <row r="1518" s="3" customFormat="1" ht="12.75" customHeight="1" x14ac:dyDescent="0.2"/>
    <row r="1519" s="3" customFormat="1" ht="12.75" customHeight="1" x14ac:dyDescent="0.2"/>
    <row r="1520" s="3" customFormat="1" ht="12.75" customHeight="1" x14ac:dyDescent="0.2"/>
    <row r="1521" s="3" customFormat="1" ht="12.75" customHeight="1" x14ac:dyDescent="0.2"/>
    <row r="1522" s="3" customFormat="1" ht="12.75" customHeight="1" x14ac:dyDescent="0.2"/>
    <row r="1523" s="3" customFormat="1" ht="12.75" customHeight="1" x14ac:dyDescent="0.2"/>
    <row r="1524" s="3" customFormat="1" ht="12.75" customHeight="1" x14ac:dyDescent="0.2"/>
    <row r="1525" s="3" customFormat="1" ht="12.75" customHeight="1" x14ac:dyDescent="0.2"/>
    <row r="1526" s="3" customFormat="1" ht="12.75" customHeight="1" x14ac:dyDescent="0.2"/>
    <row r="1527" s="3" customFormat="1" ht="12.75" customHeight="1" x14ac:dyDescent="0.2"/>
    <row r="1528" s="3" customFormat="1" ht="12.75" customHeight="1" x14ac:dyDescent="0.2"/>
    <row r="1529" s="3" customFormat="1" ht="12.75" customHeight="1" x14ac:dyDescent="0.2"/>
    <row r="1530" s="3" customFormat="1" ht="12.75" customHeight="1" x14ac:dyDescent="0.2"/>
    <row r="1531" s="3" customFormat="1" ht="12.75" customHeight="1" x14ac:dyDescent="0.2"/>
    <row r="1532" s="3" customFormat="1" ht="12.75" customHeight="1" x14ac:dyDescent="0.2"/>
    <row r="1533" s="3" customFormat="1" ht="12.75" customHeight="1" x14ac:dyDescent="0.2"/>
    <row r="1534" s="3" customFormat="1" ht="12.75" customHeight="1" x14ac:dyDescent="0.2"/>
    <row r="1535" s="3" customFormat="1" ht="12.75" customHeight="1" x14ac:dyDescent="0.2"/>
    <row r="1536" s="3" customFormat="1" ht="12.75" customHeight="1" x14ac:dyDescent="0.2"/>
    <row r="1537" s="3" customFormat="1" ht="12.75" customHeight="1" x14ac:dyDescent="0.2"/>
    <row r="1538" s="3" customFormat="1" ht="12.75" customHeight="1" x14ac:dyDescent="0.2"/>
    <row r="1539" s="3" customFormat="1" ht="12.75" customHeight="1" x14ac:dyDescent="0.2"/>
    <row r="1540" s="3" customFormat="1" ht="12.75" customHeight="1" x14ac:dyDescent="0.2"/>
    <row r="1541" s="3" customFormat="1" ht="12.75" customHeight="1" x14ac:dyDescent="0.2"/>
    <row r="1542" s="3" customFormat="1" ht="12.75" customHeight="1" x14ac:dyDescent="0.2"/>
    <row r="1543" s="3" customFormat="1" ht="12.75" customHeight="1" x14ac:dyDescent="0.2"/>
    <row r="1544" s="3" customFormat="1" ht="12.75" customHeight="1" x14ac:dyDescent="0.2"/>
    <row r="1545" s="3" customFormat="1" ht="12.75" customHeight="1" x14ac:dyDescent="0.2"/>
    <row r="1546" s="3" customFormat="1" ht="12.75" customHeight="1" x14ac:dyDescent="0.2"/>
    <row r="1547" s="3" customFormat="1" ht="12.75" customHeight="1" x14ac:dyDescent="0.2"/>
    <row r="1548" s="3" customFormat="1" ht="12.75" customHeight="1" x14ac:dyDescent="0.2"/>
    <row r="1549" s="3" customFormat="1" ht="12.75" customHeight="1" x14ac:dyDescent="0.2"/>
    <row r="1550" s="3" customFormat="1" ht="12.75" customHeight="1" x14ac:dyDescent="0.2"/>
    <row r="1551" s="3" customFormat="1" ht="12.75" customHeight="1" x14ac:dyDescent="0.2"/>
    <row r="1552" s="3" customFormat="1" ht="12.75" customHeight="1" x14ac:dyDescent="0.2"/>
    <row r="1553" s="3" customFormat="1" ht="12.75" customHeight="1" x14ac:dyDescent="0.2"/>
    <row r="1554" s="3" customFormat="1" ht="12.75" customHeight="1" x14ac:dyDescent="0.2"/>
    <row r="1555" s="3" customFormat="1" ht="12.75" customHeight="1" x14ac:dyDescent="0.2"/>
    <row r="1556" s="3" customFormat="1" ht="12.75" customHeight="1" x14ac:dyDescent="0.2"/>
    <row r="1557" s="3" customFormat="1" ht="12.75" customHeight="1" x14ac:dyDescent="0.2"/>
    <row r="1558" s="3" customFormat="1" ht="12.75" customHeight="1" x14ac:dyDescent="0.2"/>
    <row r="1559" s="3" customFormat="1" ht="12.75" customHeight="1" x14ac:dyDescent="0.2"/>
    <row r="1560" s="3" customFormat="1" ht="12.75" customHeight="1" x14ac:dyDescent="0.2"/>
    <row r="1561" s="3" customFormat="1" ht="12.75" customHeight="1" x14ac:dyDescent="0.2"/>
    <row r="1562" s="3" customFormat="1" ht="12.75" customHeight="1" x14ac:dyDescent="0.2"/>
    <row r="1563" s="3" customFormat="1" ht="12.75" customHeight="1" x14ac:dyDescent="0.2"/>
    <row r="1564" s="3" customFormat="1" ht="12.75" customHeight="1" x14ac:dyDescent="0.2"/>
    <row r="1565" s="3" customFormat="1" ht="12.75" customHeight="1" x14ac:dyDescent="0.2"/>
    <row r="1566" s="3" customFormat="1" ht="12.75" customHeight="1" x14ac:dyDescent="0.2"/>
    <row r="1567" s="3" customFormat="1" ht="12.75" customHeight="1" x14ac:dyDescent="0.2"/>
    <row r="1568" s="3" customFormat="1" ht="12.75" customHeight="1" x14ac:dyDescent="0.2"/>
    <row r="1569" s="3" customFormat="1" ht="12.75" customHeight="1" x14ac:dyDescent="0.2"/>
    <row r="1570" s="3" customFormat="1" ht="12.75" customHeight="1" x14ac:dyDescent="0.2"/>
    <row r="1571" s="3" customFormat="1" ht="12.75" customHeight="1" x14ac:dyDescent="0.2"/>
    <row r="1572" s="3" customFormat="1" ht="12.75" customHeight="1" x14ac:dyDescent="0.2"/>
    <row r="1573" s="3" customFormat="1" ht="12.75" customHeight="1" x14ac:dyDescent="0.2"/>
    <row r="1574" s="3" customFormat="1" ht="12.75" customHeight="1" x14ac:dyDescent="0.2"/>
    <row r="1575" s="3" customFormat="1" ht="12.75" customHeight="1" x14ac:dyDescent="0.2"/>
    <row r="1576" s="3" customFormat="1" ht="12.75" customHeight="1" x14ac:dyDescent="0.2"/>
    <row r="1577" s="3" customFormat="1" ht="12.75" customHeight="1" x14ac:dyDescent="0.2"/>
    <row r="1578" s="3" customFormat="1" ht="12.75" customHeight="1" x14ac:dyDescent="0.2"/>
    <row r="1579" s="3" customFormat="1" ht="12.75" customHeight="1" x14ac:dyDescent="0.2"/>
    <row r="1580" s="3" customFormat="1" ht="12.75" customHeight="1" x14ac:dyDescent="0.2"/>
    <row r="1581" s="3" customFormat="1" ht="12.75" customHeight="1" x14ac:dyDescent="0.2"/>
    <row r="1582" s="3" customFormat="1" ht="12.75" customHeight="1" x14ac:dyDescent="0.2"/>
    <row r="1583" s="3" customFormat="1" ht="12.75" customHeight="1" x14ac:dyDescent="0.2"/>
    <row r="1584" s="3" customFormat="1" ht="12.75" customHeight="1" x14ac:dyDescent="0.2"/>
    <row r="1585" s="3" customFormat="1" ht="12.75" customHeight="1" x14ac:dyDescent="0.2"/>
    <row r="1586" s="3" customFormat="1" ht="12.75" customHeight="1" x14ac:dyDescent="0.2"/>
    <row r="1587" s="3" customFormat="1" ht="12.75" customHeight="1" x14ac:dyDescent="0.2"/>
    <row r="1588" s="3" customFormat="1" ht="12.75" customHeight="1" x14ac:dyDescent="0.2"/>
    <row r="1589" s="3" customFormat="1" ht="12.75" customHeight="1" x14ac:dyDescent="0.2"/>
    <row r="1590" s="3" customFormat="1" ht="12.75" customHeight="1" x14ac:dyDescent="0.2"/>
    <row r="1591" s="3" customFormat="1" ht="12.75" customHeight="1" x14ac:dyDescent="0.2"/>
    <row r="1592" s="3" customFormat="1" ht="12.75" customHeight="1" x14ac:dyDescent="0.2"/>
    <row r="1593" s="3" customFormat="1" ht="12.75" customHeight="1" x14ac:dyDescent="0.2"/>
    <row r="1594" s="3" customFormat="1" ht="12.75" customHeight="1" x14ac:dyDescent="0.2"/>
    <row r="1595" s="3" customFormat="1" ht="12.75" customHeight="1" x14ac:dyDescent="0.2"/>
    <row r="1596" s="3" customFormat="1" ht="12.75" customHeight="1" x14ac:dyDescent="0.2"/>
    <row r="1597" s="3" customFormat="1" ht="12.75" customHeight="1" x14ac:dyDescent="0.2"/>
    <row r="1598" s="3" customFormat="1" ht="12.75" customHeight="1" x14ac:dyDescent="0.2"/>
    <row r="1599" s="3" customFormat="1" ht="12.75" customHeight="1" x14ac:dyDescent="0.2"/>
    <row r="1600" s="3" customFormat="1" ht="12.75" customHeight="1" x14ac:dyDescent="0.2"/>
    <row r="1601" s="3" customFormat="1" ht="12.75" customHeight="1" x14ac:dyDescent="0.2"/>
    <row r="1602" s="3" customFormat="1" ht="12.75" customHeight="1" x14ac:dyDescent="0.2"/>
    <row r="1603" s="3" customFormat="1" ht="12.75" customHeight="1" x14ac:dyDescent="0.2"/>
    <row r="1604" s="3" customFormat="1" ht="12.75" customHeight="1" x14ac:dyDescent="0.2"/>
    <row r="1605" s="3" customFormat="1" ht="12.75" customHeight="1" x14ac:dyDescent="0.2"/>
    <row r="1606" s="3" customFormat="1" ht="12.75" customHeight="1" x14ac:dyDescent="0.2"/>
    <row r="1607" s="3" customFormat="1" ht="12.75" customHeight="1" x14ac:dyDescent="0.2"/>
    <row r="1608" s="3" customFormat="1" ht="12.75" customHeight="1" x14ac:dyDescent="0.2"/>
    <row r="1609" s="3" customFormat="1" ht="12.75" customHeight="1" x14ac:dyDescent="0.2"/>
    <row r="1610" s="3" customFormat="1" ht="12.75" customHeight="1" x14ac:dyDescent="0.2"/>
    <row r="1611" s="3" customFormat="1" ht="12.75" customHeight="1" x14ac:dyDescent="0.2"/>
    <row r="1612" s="3" customFormat="1" ht="12.75" customHeight="1" x14ac:dyDescent="0.2"/>
    <row r="1613" s="3" customFormat="1" ht="12.75" customHeight="1" x14ac:dyDescent="0.2"/>
    <row r="1614" s="3" customFormat="1" ht="12.75" customHeight="1" x14ac:dyDescent="0.2"/>
    <row r="1615" s="3" customFormat="1" ht="12.75" customHeight="1" x14ac:dyDescent="0.2"/>
    <row r="1616" s="3" customFormat="1" ht="12.75" customHeight="1" x14ac:dyDescent="0.2"/>
    <row r="1617" s="3" customFormat="1" ht="12.75" customHeight="1" x14ac:dyDescent="0.2"/>
    <row r="1618" s="3" customFormat="1" ht="12.75" customHeight="1" x14ac:dyDescent="0.2"/>
    <row r="1619" s="3" customFormat="1" ht="12.75" customHeight="1" x14ac:dyDescent="0.2"/>
    <row r="1620" s="3" customFormat="1" ht="12.75" customHeight="1" x14ac:dyDescent="0.2"/>
    <row r="1621" s="3" customFormat="1" ht="12.75" customHeight="1" x14ac:dyDescent="0.2"/>
    <row r="1622" s="3" customFormat="1" ht="12.75" customHeight="1" x14ac:dyDescent="0.2"/>
    <row r="1623" s="3" customFormat="1" ht="12.75" customHeight="1" x14ac:dyDescent="0.2"/>
    <row r="1624" s="3" customFormat="1" ht="12.75" customHeight="1" x14ac:dyDescent="0.2"/>
    <row r="1625" s="3" customFormat="1" ht="12.75" customHeight="1" x14ac:dyDescent="0.2"/>
    <row r="1626" s="3" customFormat="1" ht="12.75" customHeight="1" x14ac:dyDescent="0.2"/>
    <row r="1627" s="3" customFormat="1" ht="12.75" customHeight="1" x14ac:dyDescent="0.2"/>
    <row r="1628" s="3" customFormat="1" ht="12.75" customHeight="1" x14ac:dyDescent="0.2"/>
    <row r="1629" s="3" customFormat="1" ht="12.75" customHeight="1" x14ac:dyDescent="0.2"/>
    <row r="1630" s="3" customFormat="1" ht="12.75" customHeight="1" x14ac:dyDescent="0.2"/>
    <row r="1631" s="3" customFormat="1" ht="12.75" customHeight="1" x14ac:dyDescent="0.2"/>
    <row r="1632" s="3" customFormat="1" ht="12.75" customHeight="1" x14ac:dyDescent="0.2"/>
    <row r="1633" s="3" customFormat="1" ht="12.75" customHeight="1" x14ac:dyDescent="0.2"/>
    <row r="1634" s="3" customFormat="1" ht="12.75" customHeight="1" x14ac:dyDescent="0.2"/>
    <row r="1635" s="3" customFormat="1" ht="12.75" customHeight="1" x14ac:dyDescent="0.2"/>
    <row r="1636" s="3" customFormat="1" ht="12.75" customHeight="1" x14ac:dyDescent="0.2"/>
    <row r="1637" s="3" customFormat="1" ht="12.75" customHeight="1" x14ac:dyDescent="0.2"/>
    <row r="1638" s="3" customFormat="1" ht="12.75" customHeight="1" x14ac:dyDescent="0.2"/>
    <row r="1639" s="3" customFormat="1" ht="12.75" customHeight="1" x14ac:dyDescent="0.2"/>
    <row r="1640" s="3" customFormat="1" ht="12.75" customHeight="1" x14ac:dyDescent="0.2"/>
    <row r="1641" s="3" customFormat="1" ht="12.75" customHeight="1" x14ac:dyDescent="0.2"/>
    <row r="1642" s="3" customFormat="1" ht="12.75" customHeight="1" x14ac:dyDescent="0.2"/>
    <row r="1643" s="3" customFormat="1" ht="12.75" customHeight="1" x14ac:dyDescent="0.2"/>
    <row r="1644" s="3" customFormat="1" ht="12.75" customHeight="1" x14ac:dyDescent="0.2"/>
    <row r="1645" s="3" customFormat="1" ht="12.75" customHeight="1" x14ac:dyDescent="0.2"/>
    <row r="1646" s="3" customFormat="1" ht="12.75" customHeight="1" x14ac:dyDescent="0.2"/>
    <row r="1647" s="3" customFormat="1" ht="12.75" customHeight="1" x14ac:dyDescent="0.2"/>
    <row r="1648" s="3" customFormat="1" ht="12.75" customHeight="1" x14ac:dyDescent="0.2"/>
    <row r="1649" s="3" customFormat="1" ht="12.75" customHeight="1" x14ac:dyDescent="0.2"/>
    <row r="1650" s="3" customFormat="1" ht="12.75" customHeight="1" x14ac:dyDescent="0.2"/>
    <row r="1651" s="3" customFormat="1" ht="12.75" customHeight="1" x14ac:dyDescent="0.2"/>
    <row r="1652" s="3" customFormat="1" ht="12.75" customHeight="1" x14ac:dyDescent="0.2"/>
    <row r="1653" s="3" customFormat="1" ht="12.75" customHeight="1" x14ac:dyDescent="0.2"/>
    <row r="1654" s="3" customFormat="1" ht="12.75" customHeight="1" x14ac:dyDescent="0.2"/>
    <row r="1655" s="3" customFormat="1" ht="12.75" customHeight="1" x14ac:dyDescent="0.2"/>
    <row r="1656" s="3" customFormat="1" ht="12.75" customHeight="1" x14ac:dyDescent="0.2"/>
    <row r="1657" s="3" customFormat="1" ht="12.75" customHeight="1" x14ac:dyDescent="0.2"/>
    <row r="1658" s="3" customFormat="1" ht="12.75" customHeight="1" x14ac:dyDescent="0.2"/>
    <row r="1659" s="3" customFormat="1" ht="12.75" customHeight="1" x14ac:dyDescent="0.2"/>
    <row r="1660" s="3" customFormat="1" ht="12.75" customHeight="1" x14ac:dyDescent="0.2"/>
    <row r="1661" s="3" customFormat="1" ht="12.75" customHeight="1" x14ac:dyDescent="0.2"/>
    <row r="1662" s="3" customFormat="1" ht="12.75" customHeight="1" x14ac:dyDescent="0.2"/>
    <row r="1663" s="3" customFormat="1" ht="12.75" customHeight="1" x14ac:dyDescent="0.2"/>
    <row r="1664" s="3" customFormat="1" ht="12.75" customHeight="1" x14ac:dyDescent="0.2"/>
    <row r="1665" s="3" customFormat="1" ht="12.75" customHeight="1" x14ac:dyDescent="0.2"/>
    <row r="1666" s="3" customFormat="1" ht="12.75" customHeight="1" x14ac:dyDescent="0.2"/>
    <row r="1667" s="3" customFormat="1" ht="12.75" customHeight="1" x14ac:dyDescent="0.2"/>
    <row r="1668" s="3" customFormat="1" ht="12.75" customHeight="1" x14ac:dyDescent="0.2"/>
    <row r="1669" s="3" customFormat="1" ht="12.75" customHeight="1" x14ac:dyDescent="0.2"/>
    <row r="1670" s="3" customFormat="1" ht="12.75" customHeight="1" x14ac:dyDescent="0.2"/>
    <row r="1671" s="3" customFormat="1" ht="12.75" customHeight="1" x14ac:dyDescent="0.2"/>
    <row r="1672" s="3" customFormat="1" ht="12.75" customHeight="1" x14ac:dyDescent="0.2"/>
    <row r="1673" s="3" customFormat="1" ht="12.75" customHeight="1" x14ac:dyDescent="0.2"/>
    <row r="1674" s="3" customFormat="1" ht="12.75" customHeight="1" x14ac:dyDescent="0.2"/>
    <row r="1675" s="3" customFormat="1" ht="12.75" customHeight="1" x14ac:dyDescent="0.2"/>
    <row r="1676" s="3" customFormat="1" ht="12.75" customHeight="1" x14ac:dyDescent="0.2"/>
    <row r="1677" s="3" customFormat="1" ht="12.75" customHeight="1" x14ac:dyDescent="0.2"/>
    <row r="1678" s="3" customFormat="1" ht="12.75" customHeight="1" x14ac:dyDescent="0.2"/>
    <row r="1679" s="3" customFormat="1" ht="12.75" customHeight="1" x14ac:dyDescent="0.2"/>
    <row r="1680" s="3" customFormat="1" ht="12.75" customHeight="1" x14ac:dyDescent="0.2"/>
    <row r="1681" s="3" customFormat="1" ht="12.75" customHeight="1" x14ac:dyDescent="0.2"/>
    <row r="1682" s="3" customFormat="1" ht="12.75" customHeight="1" x14ac:dyDescent="0.2"/>
    <row r="1683" s="3" customFormat="1" ht="12.75" customHeight="1" x14ac:dyDescent="0.2"/>
    <row r="1684" s="3" customFormat="1" ht="12.75" customHeight="1" x14ac:dyDescent="0.2"/>
    <row r="1685" s="3" customFormat="1" ht="12.75" customHeight="1" x14ac:dyDescent="0.2"/>
    <row r="1686" s="3" customFormat="1" ht="12.75" customHeight="1" x14ac:dyDescent="0.2"/>
    <row r="1687" s="3" customFormat="1" ht="12.75" customHeight="1" x14ac:dyDescent="0.2"/>
    <row r="1688" s="3" customFormat="1" ht="12.75" customHeight="1" x14ac:dyDescent="0.2"/>
    <row r="1689" s="3" customFormat="1" ht="12.75" customHeight="1" x14ac:dyDescent="0.2"/>
    <row r="1690" s="3" customFormat="1" ht="12.75" customHeight="1" x14ac:dyDescent="0.2"/>
    <row r="1691" s="3" customFormat="1" ht="12.75" customHeight="1" x14ac:dyDescent="0.2"/>
    <row r="1692" s="3" customFormat="1" ht="12.75" customHeight="1" x14ac:dyDescent="0.2"/>
    <row r="1693" s="3" customFormat="1" ht="12.75" customHeight="1" x14ac:dyDescent="0.2"/>
    <row r="1694" s="3" customFormat="1" ht="12.75" customHeight="1" x14ac:dyDescent="0.2"/>
    <row r="1695" s="3" customFormat="1" ht="12.75" customHeight="1" x14ac:dyDescent="0.2"/>
    <row r="1696" s="3" customFormat="1" ht="12.75" customHeight="1" x14ac:dyDescent="0.2"/>
    <row r="1697" s="3" customFormat="1" ht="12.75" customHeight="1" x14ac:dyDescent="0.2"/>
    <row r="1698" s="3" customFormat="1" ht="12.75" customHeight="1" x14ac:dyDescent="0.2"/>
    <row r="1699" s="3" customFormat="1" ht="12.75" customHeight="1" x14ac:dyDescent="0.2"/>
    <row r="1700" s="3" customFormat="1" ht="12.75" customHeight="1" x14ac:dyDescent="0.2"/>
    <row r="1701" s="3" customFormat="1" ht="12.75" customHeight="1" x14ac:dyDescent="0.2"/>
    <row r="1702" s="3" customFormat="1" ht="12.75" customHeight="1" x14ac:dyDescent="0.2"/>
    <row r="1703" s="3" customFormat="1" ht="12.75" customHeight="1" x14ac:dyDescent="0.2"/>
    <row r="1704" s="3" customFormat="1" ht="12.75" customHeight="1" x14ac:dyDescent="0.2"/>
    <row r="1705" s="3" customFormat="1" ht="12.75" customHeight="1" x14ac:dyDescent="0.2"/>
    <row r="1706" s="3" customFormat="1" ht="12.75" customHeight="1" x14ac:dyDescent="0.2"/>
    <row r="1707" s="3" customFormat="1" ht="12.75" customHeight="1" x14ac:dyDescent="0.2"/>
    <row r="1708" s="3" customFormat="1" ht="12.75" customHeight="1" x14ac:dyDescent="0.2"/>
    <row r="1709" s="3" customFormat="1" ht="12.75" customHeight="1" x14ac:dyDescent="0.2"/>
    <row r="1710" s="3" customFormat="1" ht="12.75" customHeight="1" x14ac:dyDescent="0.2"/>
    <row r="1711" s="3" customFormat="1" ht="12.75" customHeight="1" x14ac:dyDescent="0.2"/>
    <row r="1712" s="3" customFormat="1" ht="12.75" customHeight="1" x14ac:dyDescent="0.2"/>
    <row r="1713" s="3" customFormat="1" ht="12.75" customHeight="1" x14ac:dyDescent="0.2"/>
    <row r="1714" s="3" customFormat="1" ht="12.75" customHeight="1" x14ac:dyDescent="0.2"/>
    <row r="1715" s="3" customFormat="1" ht="12.75" customHeight="1" x14ac:dyDescent="0.2"/>
    <row r="1716" s="3" customFormat="1" ht="12.75" customHeight="1" x14ac:dyDescent="0.2"/>
    <row r="1717" s="3" customFormat="1" ht="12.75" customHeight="1" x14ac:dyDescent="0.2"/>
    <row r="1718" s="3" customFormat="1" ht="12.75" customHeight="1" x14ac:dyDescent="0.2"/>
    <row r="1719" s="3" customFormat="1" ht="12.75" customHeight="1" x14ac:dyDescent="0.2"/>
    <row r="1720" s="3" customFormat="1" ht="12.75" customHeight="1" x14ac:dyDescent="0.2"/>
    <row r="1721" s="3" customFormat="1" ht="12.75" customHeight="1" x14ac:dyDescent="0.2"/>
    <row r="1722" s="3" customFormat="1" ht="12.75" customHeight="1" x14ac:dyDescent="0.2"/>
    <row r="1723" s="3" customFormat="1" ht="12.75" customHeight="1" x14ac:dyDescent="0.2"/>
    <row r="1724" s="3" customFormat="1" ht="12.75" customHeight="1" x14ac:dyDescent="0.2"/>
    <row r="1725" s="3" customFormat="1" ht="12.75" customHeight="1" x14ac:dyDescent="0.2"/>
    <row r="1726" s="3" customFormat="1" ht="12.75" customHeight="1" x14ac:dyDescent="0.2"/>
    <row r="1727" s="3" customFormat="1" ht="12.75" customHeight="1" x14ac:dyDescent="0.2"/>
    <row r="1728" s="3" customFormat="1" ht="12.75" customHeight="1" x14ac:dyDescent="0.2"/>
    <row r="1729" s="3" customFormat="1" ht="12.75" customHeight="1" x14ac:dyDescent="0.2"/>
    <row r="1730" s="3" customFormat="1" ht="12.75" customHeight="1" x14ac:dyDescent="0.2"/>
    <row r="1731" s="3" customFormat="1" ht="12.75" customHeight="1" x14ac:dyDescent="0.2"/>
    <row r="1732" s="3" customFormat="1" ht="12.75" customHeight="1" x14ac:dyDescent="0.2"/>
    <row r="1733" s="3" customFormat="1" ht="12.75" customHeight="1" x14ac:dyDescent="0.2"/>
    <row r="1734" s="3" customFormat="1" ht="12.75" customHeight="1" x14ac:dyDescent="0.2"/>
    <row r="1735" s="3" customFormat="1" ht="12.75" customHeight="1" x14ac:dyDescent="0.2"/>
    <row r="1736" s="3" customFormat="1" ht="12.75" customHeight="1" x14ac:dyDescent="0.2"/>
    <row r="1737" s="3" customFormat="1" ht="12.75" customHeight="1" x14ac:dyDescent="0.2"/>
    <row r="1738" s="3" customFormat="1" ht="12.75" customHeight="1" x14ac:dyDescent="0.2"/>
    <row r="1739" s="3" customFormat="1" ht="12.75" customHeight="1" x14ac:dyDescent="0.2"/>
    <row r="1740" s="3" customFormat="1" ht="12.75" customHeight="1" x14ac:dyDescent="0.2"/>
    <row r="1741" s="3" customFormat="1" ht="12.75" customHeight="1" x14ac:dyDescent="0.2"/>
    <row r="1742" s="3" customFormat="1" ht="12.75" customHeight="1" x14ac:dyDescent="0.2"/>
    <row r="1743" s="3" customFormat="1" ht="12.75" customHeight="1" x14ac:dyDescent="0.2"/>
    <row r="1744" s="3" customFormat="1" ht="12.75" customHeight="1" x14ac:dyDescent="0.2"/>
    <row r="1745" s="3" customFormat="1" ht="12.75" customHeight="1" x14ac:dyDescent="0.2"/>
    <row r="1746" s="3" customFormat="1" ht="12.75" customHeight="1" x14ac:dyDescent="0.2"/>
    <row r="1747" s="3" customFormat="1" ht="12.75" customHeight="1" x14ac:dyDescent="0.2"/>
    <row r="1748" s="3" customFormat="1" ht="12.75" customHeight="1" x14ac:dyDescent="0.2"/>
    <row r="1749" s="3" customFormat="1" ht="12.75" customHeight="1" x14ac:dyDescent="0.2"/>
    <row r="1750" s="3" customFormat="1" ht="12.75" customHeight="1" x14ac:dyDescent="0.2"/>
    <row r="1751" s="3" customFormat="1" ht="12.75" customHeight="1" x14ac:dyDescent="0.2"/>
    <row r="1752" s="3" customFormat="1" ht="12.75" customHeight="1" x14ac:dyDescent="0.2"/>
    <row r="1753" s="3" customFormat="1" ht="12.75" customHeight="1" x14ac:dyDescent="0.2"/>
    <row r="1754" s="3" customFormat="1" ht="12.75" customHeight="1" x14ac:dyDescent="0.2"/>
    <row r="1755" s="3" customFormat="1" ht="12.75" customHeight="1" x14ac:dyDescent="0.2"/>
    <row r="1756" s="3" customFormat="1" ht="12.75" customHeight="1" x14ac:dyDescent="0.2"/>
    <row r="1757" s="3" customFormat="1" ht="12.75" customHeight="1" x14ac:dyDescent="0.2"/>
    <row r="1758" s="3" customFormat="1" ht="12.75" customHeight="1" x14ac:dyDescent="0.2"/>
    <row r="1759" s="3" customFormat="1" ht="12.75" customHeight="1" x14ac:dyDescent="0.2"/>
    <row r="1760" s="3" customFormat="1" ht="12.75" customHeight="1" x14ac:dyDescent="0.2"/>
    <row r="1761" s="3" customFormat="1" ht="12.75" customHeight="1" x14ac:dyDescent="0.2"/>
    <row r="1762" s="3" customFormat="1" ht="12.75" customHeight="1" x14ac:dyDescent="0.2"/>
    <row r="1763" s="3" customFormat="1" ht="12.75" customHeight="1" x14ac:dyDescent="0.2"/>
    <row r="1764" s="3" customFormat="1" ht="12.75" customHeight="1" x14ac:dyDescent="0.2"/>
    <row r="1765" s="3" customFormat="1" ht="12.75" customHeight="1" x14ac:dyDescent="0.2"/>
    <row r="1766" s="3" customFormat="1" ht="12.75" customHeight="1" x14ac:dyDescent="0.2"/>
    <row r="1767" s="3" customFormat="1" ht="12.75" customHeight="1" x14ac:dyDescent="0.2"/>
    <row r="1768" s="3" customFormat="1" ht="12.75" customHeight="1" x14ac:dyDescent="0.2"/>
    <row r="1769" s="3" customFormat="1" ht="12.75" customHeight="1" x14ac:dyDescent="0.2"/>
    <row r="1770" s="3" customFormat="1" ht="12.75" customHeight="1" x14ac:dyDescent="0.2"/>
    <row r="1771" s="3" customFormat="1" ht="12.75" customHeight="1" x14ac:dyDescent="0.2"/>
    <row r="1772" s="3" customFormat="1" ht="12.75" customHeight="1" x14ac:dyDescent="0.2"/>
    <row r="1773" s="3" customFormat="1" ht="12.75" customHeight="1" x14ac:dyDescent="0.2"/>
    <row r="1774" s="3" customFormat="1" ht="12.75" customHeight="1" x14ac:dyDescent="0.2"/>
    <row r="1775" s="3" customFormat="1" ht="12.75" customHeight="1" x14ac:dyDescent="0.2"/>
    <row r="1776" s="3" customFormat="1" ht="12.75" customHeight="1" x14ac:dyDescent="0.2"/>
    <row r="1777" s="3" customFormat="1" ht="12.75" customHeight="1" x14ac:dyDescent="0.2"/>
    <row r="1778" s="3" customFormat="1" ht="12.75" customHeight="1" x14ac:dyDescent="0.2"/>
    <row r="1779" s="3" customFormat="1" ht="12.75" customHeight="1" x14ac:dyDescent="0.2"/>
    <row r="1780" s="3" customFormat="1" ht="12.75" customHeight="1" x14ac:dyDescent="0.2"/>
    <row r="1781" s="3" customFormat="1" ht="12.75" customHeight="1" x14ac:dyDescent="0.2"/>
    <row r="1782" s="3" customFormat="1" ht="12.75" customHeight="1" x14ac:dyDescent="0.2"/>
    <row r="1783" s="3" customFormat="1" ht="12.75" customHeight="1" x14ac:dyDescent="0.2"/>
    <row r="1784" s="3" customFormat="1" ht="12.75" customHeight="1" x14ac:dyDescent="0.2"/>
    <row r="1785" s="3" customFormat="1" ht="12.75" customHeight="1" x14ac:dyDescent="0.2"/>
    <row r="1786" s="3" customFormat="1" ht="12.75" customHeight="1" x14ac:dyDescent="0.2"/>
    <row r="1787" s="3" customFormat="1" ht="12.75" customHeight="1" x14ac:dyDescent="0.2"/>
    <row r="1788" s="3" customFormat="1" ht="12.75" customHeight="1" x14ac:dyDescent="0.2"/>
    <row r="1789" s="3" customFormat="1" ht="12.75" customHeight="1" x14ac:dyDescent="0.2"/>
    <row r="1790" s="3" customFormat="1" ht="12.75" customHeight="1" x14ac:dyDescent="0.2"/>
    <row r="1791" s="3" customFormat="1" ht="12.75" customHeight="1" x14ac:dyDescent="0.2"/>
    <row r="1792" s="3" customFormat="1" ht="12.75" customHeight="1" x14ac:dyDescent="0.2"/>
    <row r="1793" s="3" customFormat="1" ht="12.75" customHeight="1" x14ac:dyDescent="0.2"/>
    <row r="1794" s="3" customFormat="1" ht="12.75" customHeight="1" x14ac:dyDescent="0.2"/>
    <row r="1795" s="3" customFormat="1" ht="12.75" customHeight="1" x14ac:dyDescent="0.2"/>
    <row r="1796" s="3" customFormat="1" ht="12.75" customHeight="1" x14ac:dyDescent="0.2"/>
    <row r="1797" s="3" customFormat="1" ht="12.75" customHeight="1" x14ac:dyDescent="0.2"/>
    <row r="1798" s="3" customFormat="1" ht="12.75" customHeight="1" x14ac:dyDescent="0.2"/>
    <row r="1799" s="3" customFormat="1" ht="12.75" customHeight="1" x14ac:dyDescent="0.2"/>
    <row r="1800" s="3" customFormat="1" ht="12.75" customHeight="1" x14ac:dyDescent="0.2"/>
    <row r="1801" s="3" customFormat="1" ht="12.75" customHeight="1" x14ac:dyDescent="0.2"/>
    <row r="1802" s="3" customFormat="1" ht="12.75" customHeight="1" x14ac:dyDescent="0.2"/>
    <row r="1803" s="3" customFormat="1" ht="12.75" customHeight="1" x14ac:dyDescent="0.2"/>
    <row r="1804" s="3" customFormat="1" ht="12.75" customHeight="1" x14ac:dyDescent="0.2"/>
    <row r="1805" s="3" customFormat="1" ht="12.75" customHeight="1" x14ac:dyDescent="0.2"/>
    <row r="1806" s="3" customFormat="1" ht="12.75" customHeight="1" x14ac:dyDescent="0.2"/>
    <row r="1807" s="3" customFormat="1" ht="12.75" customHeight="1" x14ac:dyDescent="0.2"/>
    <row r="1808" s="3" customFormat="1" ht="12.75" customHeight="1" x14ac:dyDescent="0.2"/>
    <row r="1809" s="3" customFormat="1" ht="12.75" customHeight="1" x14ac:dyDescent="0.2"/>
    <row r="1810" s="3" customFormat="1" ht="12.75" customHeight="1" x14ac:dyDescent="0.2"/>
    <row r="1811" s="3" customFormat="1" ht="12.75" customHeight="1" x14ac:dyDescent="0.2"/>
    <row r="1812" s="3" customFormat="1" ht="12.75" customHeight="1" x14ac:dyDescent="0.2"/>
    <row r="1813" s="3" customFormat="1" ht="12.75" customHeight="1" x14ac:dyDescent="0.2"/>
    <row r="1814" s="3" customFormat="1" ht="12.75" customHeight="1" x14ac:dyDescent="0.2"/>
    <row r="1815" s="3" customFormat="1" ht="12.75" customHeight="1" x14ac:dyDescent="0.2"/>
    <row r="1816" s="3" customFormat="1" ht="12.75" customHeight="1" x14ac:dyDescent="0.2"/>
    <row r="1817" s="3" customFormat="1" ht="12.75" customHeight="1" x14ac:dyDescent="0.2"/>
    <row r="1818" s="3" customFormat="1" ht="12.75" customHeight="1" x14ac:dyDescent="0.2"/>
    <row r="1819" s="3" customFormat="1" ht="12.75" customHeight="1" x14ac:dyDescent="0.2"/>
    <row r="1820" s="3" customFormat="1" ht="12.75" customHeight="1" x14ac:dyDescent="0.2"/>
    <row r="1821" s="3" customFormat="1" ht="12.75" customHeight="1" x14ac:dyDescent="0.2"/>
    <row r="1822" s="3" customFormat="1" ht="12.75" customHeight="1" x14ac:dyDescent="0.2"/>
    <row r="1823" s="3" customFormat="1" ht="12.75" customHeight="1" x14ac:dyDescent="0.2"/>
    <row r="1824" s="3" customFormat="1" ht="12.75" customHeight="1" x14ac:dyDescent="0.2"/>
    <row r="1825" s="3" customFormat="1" ht="12.75" customHeight="1" x14ac:dyDescent="0.2"/>
    <row r="1826" s="3" customFormat="1" ht="12.75" customHeight="1" x14ac:dyDescent="0.2"/>
    <row r="1827" s="3" customFormat="1" ht="12.75" customHeight="1" x14ac:dyDescent="0.2"/>
    <row r="1828" s="3" customFormat="1" ht="12.75" customHeight="1" x14ac:dyDescent="0.2"/>
    <row r="1829" s="3" customFormat="1" ht="12.75" customHeight="1" x14ac:dyDescent="0.2"/>
    <row r="1830" s="3" customFormat="1" ht="12.75" customHeight="1" x14ac:dyDescent="0.2"/>
    <row r="1831" s="3" customFormat="1" ht="12.75" customHeight="1" x14ac:dyDescent="0.2"/>
    <row r="1832" s="3" customFormat="1" ht="12.75" customHeight="1" x14ac:dyDescent="0.2"/>
    <row r="1833" s="3" customFormat="1" ht="12.75" customHeight="1" x14ac:dyDescent="0.2"/>
    <row r="1834" s="3" customFormat="1" ht="12.75" customHeight="1" x14ac:dyDescent="0.2"/>
    <row r="1835" s="3" customFormat="1" ht="12.75" customHeight="1" x14ac:dyDescent="0.2"/>
    <row r="1836" s="3" customFormat="1" ht="12.75" customHeight="1" x14ac:dyDescent="0.2"/>
    <row r="1837" s="3" customFormat="1" ht="12.75" customHeight="1" x14ac:dyDescent="0.2"/>
    <row r="1838" s="3" customFormat="1" ht="12.75" customHeight="1" x14ac:dyDescent="0.2"/>
    <row r="1839" s="3" customFormat="1" ht="12.75" customHeight="1" x14ac:dyDescent="0.2"/>
    <row r="1840" s="3" customFormat="1" ht="12.75" customHeight="1" x14ac:dyDescent="0.2"/>
    <row r="1841" s="3" customFormat="1" ht="12.75" customHeight="1" x14ac:dyDescent="0.2"/>
    <row r="1842" s="3" customFormat="1" ht="12.75" customHeight="1" x14ac:dyDescent="0.2"/>
    <row r="1843" s="3" customFormat="1" ht="12.75" customHeight="1" x14ac:dyDescent="0.2"/>
    <row r="1844" s="3" customFormat="1" ht="12.75" customHeight="1" x14ac:dyDescent="0.2"/>
    <row r="1845" s="3" customFormat="1" ht="12.75" customHeight="1" x14ac:dyDescent="0.2"/>
    <row r="1846" s="3" customFormat="1" ht="12.75" customHeight="1" x14ac:dyDescent="0.2"/>
    <row r="1847" s="3" customFormat="1" ht="12.75" customHeight="1" x14ac:dyDescent="0.2"/>
    <row r="1848" s="3" customFormat="1" ht="12.75" customHeight="1" x14ac:dyDescent="0.2"/>
    <row r="1849" s="3" customFormat="1" ht="12.75" customHeight="1" x14ac:dyDescent="0.2"/>
    <row r="1850" s="3" customFormat="1" ht="12.75" customHeight="1" x14ac:dyDescent="0.2"/>
    <row r="1851" s="3" customFormat="1" ht="12.75" customHeight="1" x14ac:dyDescent="0.2"/>
    <row r="1852" s="3" customFormat="1" ht="12.75" customHeight="1" x14ac:dyDescent="0.2"/>
    <row r="1853" s="3" customFormat="1" ht="12.75" customHeight="1" x14ac:dyDescent="0.2"/>
    <row r="1854" s="3" customFormat="1" ht="12.75" customHeight="1" x14ac:dyDescent="0.2"/>
    <row r="1855" s="3" customFormat="1" ht="12.75" customHeight="1" x14ac:dyDescent="0.2"/>
    <row r="1856" s="3" customFormat="1" ht="12.75" customHeight="1" x14ac:dyDescent="0.2"/>
    <row r="1857" s="3" customFormat="1" ht="12.75" customHeight="1" x14ac:dyDescent="0.2"/>
    <row r="1858" s="3" customFormat="1" ht="12.75" customHeight="1" x14ac:dyDescent="0.2"/>
    <row r="1859" s="3" customFormat="1" ht="12.75" customHeight="1" x14ac:dyDescent="0.2"/>
    <row r="1860" s="3" customFormat="1" ht="12.75" customHeight="1" x14ac:dyDescent="0.2"/>
    <row r="1861" s="3" customFormat="1" ht="12.75" customHeight="1" x14ac:dyDescent="0.2"/>
    <row r="1862" s="3" customFormat="1" ht="12.75" customHeight="1" x14ac:dyDescent="0.2"/>
    <row r="1863" s="3" customFormat="1" ht="12.75" customHeight="1" x14ac:dyDescent="0.2"/>
    <row r="1864" s="3" customFormat="1" ht="12.75" customHeight="1" x14ac:dyDescent="0.2"/>
    <row r="1865" s="3" customFormat="1" ht="12.75" customHeight="1" x14ac:dyDescent="0.2"/>
    <row r="1866" s="3" customFormat="1" ht="12.75" customHeight="1" x14ac:dyDescent="0.2"/>
    <row r="1867" s="3" customFormat="1" ht="12.75" customHeight="1" x14ac:dyDescent="0.2"/>
    <row r="1868" s="3" customFormat="1" ht="12.75" customHeight="1" x14ac:dyDescent="0.2"/>
    <row r="1869" s="3" customFormat="1" ht="12.75" customHeight="1" x14ac:dyDescent="0.2"/>
    <row r="1870" s="3" customFormat="1" ht="12.75" customHeight="1" x14ac:dyDescent="0.2"/>
    <row r="1871" s="3" customFormat="1" ht="12.75" customHeight="1" x14ac:dyDescent="0.2"/>
    <row r="1872" s="3" customFormat="1" ht="12.75" customHeight="1" x14ac:dyDescent="0.2"/>
    <row r="1873" s="3" customFormat="1" ht="12.75" customHeight="1" x14ac:dyDescent="0.2"/>
    <row r="1874" s="3" customFormat="1" ht="12.75" customHeight="1" x14ac:dyDescent="0.2"/>
    <row r="1875" s="3" customFormat="1" ht="12.75" customHeight="1" x14ac:dyDescent="0.2"/>
    <row r="1876" s="3" customFormat="1" ht="12.75" customHeight="1" x14ac:dyDescent="0.2"/>
    <row r="1877" s="3" customFormat="1" ht="12.75" customHeight="1" x14ac:dyDescent="0.2"/>
    <row r="1878" s="3" customFormat="1" ht="12.75" customHeight="1" x14ac:dyDescent="0.2"/>
    <row r="1879" s="3" customFormat="1" ht="12.75" customHeight="1" x14ac:dyDescent="0.2"/>
    <row r="1880" s="3" customFormat="1" ht="12.75" customHeight="1" x14ac:dyDescent="0.2"/>
    <row r="1881" s="3" customFormat="1" ht="12.75" customHeight="1" x14ac:dyDescent="0.2"/>
    <row r="1882" s="3" customFormat="1" ht="12.75" customHeight="1" x14ac:dyDescent="0.2"/>
    <row r="1883" s="3" customFormat="1" ht="12.75" customHeight="1" x14ac:dyDescent="0.2"/>
    <row r="1884" s="3" customFormat="1" ht="12.75" customHeight="1" x14ac:dyDescent="0.2"/>
    <row r="1885" s="3" customFormat="1" ht="12.75" customHeight="1" x14ac:dyDescent="0.2"/>
    <row r="1886" s="3" customFormat="1" ht="12.75" customHeight="1" x14ac:dyDescent="0.2"/>
    <row r="1887" s="3" customFormat="1" ht="12.75" customHeight="1" x14ac:dyDescent="0.2"/>
    <row r="1888" s="3" customFormat="1" ht="12.75" customHeight="1" x14ac:dyDescent="0.2"/>
    <row r="1889" s="3" customFormat="1" ht="12.75" customHeight="1" x14ac:dyDescent="0.2"/>
    <row r="1890" s="3" customFormat="1" ht="12.75" customHeight="1" x14ac:dyDescent="0.2"/>
    <row r="1891" s="3" customFormat="1" ht="12.75" customHeight="1" x14ac:dyDescent="0.2"/>
    <row r="1892" s="3" customFormat="1" ht="12.75" customHeight="1" x14ac:dyDescent="0.2"/>
    <row r="1893" s="3" customFormat="1" ht="12.75" customHeight="1" x14ac:dyDescent="0.2"/>
    <row r="1894" s="3" customFormat="1" ht="12.75" customHeight="1" x14ac:dyDescent="0.2"/>
    <row r="1895" s="3" customFormat="1" ht="12.75" customHeight="1" x14ac:dyDescent="0.2"/>
    <row r="1896" s="3" customFormat="1" ht="12.75" customHeight="1" x14ac:dyDescent="0.2"/>
    <row r="1897" s="3" customFormat="1" ht="12.75" customHeight="1" x14ac:dyDescent="0.2"/>
    <row r="1898" s="3" customFormat="1" ht="12.75" customHeight="1" x14ac:dyDescent="0.2"/>
    <row r="1899" s="3" customFormat="1" ht="12.75" customHeight="1" x14ac:dyDescent="0.2"/>
    <row r="1900" s="3" customFormat="1" ht="12.75" customHeight="1" x14ac:dyDescent="0.2"/>
    <row r="1901" s="3" customFormat="1" ht="12.75" customHeight="1" x14ac:dyDescent="0.2"/>
    <row r="1902" s="3" customFormat="1" ht="12.75" customHeight="1" x14ac:dyDescent="0.2"/>
    <row r="1903" s="3" customFormat="1" ht="12.75" customHeight="1" x14ac:dyDescent="0.2"/>
    <row r="1904" s="3" customFormat="1" ht="12.75" customHeight="1" x14ac:dyDescent="0.2"/>
    <row r="1905" s="3" customFormat="1" ht="12.75" customHeight="1" x14ac:dyDescent="0.2"/>
    <row r="1906" s="3" customFormat="1" ht="12.75" customHeight="1" x14ac:dyDescent="0.2"/>
    <row r="1907" s="3" customFormat="1" ht="12.75" customHeight="1" x14ac:dyDescent="0.2"/>
    <row r="1908" s="3" customFormat="1" ht="12.75" customHeight="1" x14ac:dyDescent="0.2"/>
    <row r="1909" s="3" customFormat="1" ht="12.75" customHeight="1" x14ac:dyDescent="0.2"/>
    <row r="1910" s="3" customFormat="1" ht="12.75" customHeight="1" x14ac:dyDescent="0.2"/>
    <row r="1911" s="3" customFormat="1" ht="12.75" customHeight="1" x14ac:dyDescent="0.2"/>
    <row r="1912" s="3" customFormat="1" ht="12.75" customHeight="1" x14ac:dyDescent="0.2"/>
    <row r="1913" s="3" customFormat="1" ht="12.75" customHeight="1" x14ac:dyDescent="0.2"/>
    <row r="1914" s="3" customFormat="1" ht="12.75" customHeight="1" x14ac:dyDescent="0.2"/>
    <row r="1915" s="3" customFormat="1" ht="12.75" customHeight="1" x14ac:dyDescent="0.2"/>
    <row r="1916" s="3" customFormat="1" ht="12.75" customHeight="1" x14ac:dyDescent="0.2"/>
    <row r="1917" s="3" customFormat="1" ht="12.75" customHeight="1" x14ac:dyDescent="0.2"/>
    <row r="1918" s="3" customFormat="1" ht="12.75" customHeight="1" x14ac:dyDescent="0.2"/>
    <row r="1919" s="3" customFormat="1" ht="12.75" customHeight="1" x14ac:dyDescent="0.2"/>
    <row r="1920" s="3" customFormat="1" ht="12.75" customHeight="1" x14ac:dyDescent="0.2"/>
    <row r="1921" s="3" customFormat="1" ht="12.75" customHeight="1" x14ac:dyDescent="0.2"/>
    <row r="1922" s="3" customFormat="1" ht="12.75" customHeight="1" x14ac:dyDescent="0.2"/>
    <row r="1923" s="3" customFormat="1" ht="12.75" customHeight="1" x14ac:dyDescent="0.2"/>
    <row r="1924" s="3" customFormat="1" ht="12.75" customHeight="1" x14ac:dyDescent="0.2"/>
    <row r="1925" s="3" customFormat="1" ht="12.75" customHeight="1" x14ac:dyDescent="0.2"/>
    <row r="1926" s="3" customFormat="1" ht="12.75" customHeight="1" x14ac:dyDescent="0.2"/>
    <row r="1927" s="3" customFormat="1" ht="12.75" customHeight="1" x14ac:dyDescent="0.2"/>
    <row r="1928" s="3" customFormat="1" ht="12.75" customHeight="1" x14ac:dyDescent="0.2"/>
    <row r="1929" s="3" customFormat="1" ht="12.75" customHeight="1" x14ac:dyDescent="0.2"/>
    <row r="1930" s="3" customFormat="1" ht="12.75" customHeight="1" x14ac:dyDescent="0.2"/>
    <row r="1931" s="3" customFormat="1" ht="12.75" customHeight="1" x14ac:dyDescent="0.2"/>
    <row r="1932" s="3" customFormat="1" ht="12.75" customHeight="1" x14ac:dyDescent="0.2"/>
    <row r="1933" s="3" customFormat="1" ht="12.75" customHeight="1" x14ac:dyDescent="0.2"/>
    <row r="1934" s="3" customFormat="1" ht="12.75" customHeight="1" x14ac:dyDescent="0.2"/>
    <row r="1935" s="3" customFormat="1" ht="12.75" customHeight="1" x14ac:dyDescent="0.2"/>
    <row r="1936" s="3" customFormat="1" ht="12.75" customHeight="1" x14ac:dyDescent="0.2"/>
    <row r="1937" s="3" customFormat="1" ht="12.75" customHeight="1" x14ac:dyDescent="0.2"/>
    <row r="1938" s="3" customFormat="1" ht="12.75" customHeight="1" x14ac:dyDescent="0.2"/>
    <row r="1939" s="3" customFormat="1" ht="12.75" customHeight="1" x14ac:dyDescent="0.2"/>
    <row r="1940" s="3" customFormat="1" ht="12.75" customHeight="1" x14ac:dyDescent="0.2"/>
    <row r="1941" s="3" customFormat="1" ht="12.75" customHeight="1" x14ac:dyDescent="0.2"/>
    <row r="1942" s="3" customFormat="1" ht="12.75" customHeight="1" x14ac:dyDescent="0.2"/>
    <row r="1943" s="3" customFormat="1" ht="12.75" customHeight="1" x14ac:dyDescent="0.2"/>
    <row r="1944" s="3" customFormat="1" ht="12.75" customHeight="1" x14ac:dyDescent="0.2"/>
    <row r="1945" s="3" customFormat="1" ht="12.75" customHeight="1" x14ac:dyDescent="0.2"/>
    <row r="1946" s="3" customFormat="1" ht="12.75" customHeight="1" x14ac:dyDescent="0.2"/>
    <row r="1947" s="3" customFormat="1" ht="12.75" customHeight="1" x14ac:dyDescent="0.2"/>
    <row r="1948" s="3" customFormat="1" ht="12.75" customHeight="1" x14ac:dyDescent="0.2"/>
    <row r="1949" s="3" customFormat="1" ht="12.75" customHeight="1" x14ac:dyDescent="0.2"/>
    <row r="1950" s="3" customFormat="1" ht="12.75" customHeight="1" x14ac:dyDescent="0.2"/>
    <row r="1951" s="3" customFormat="1" ht="12.75" customHeight="1" x14ac:dyDescent="0.2"/>
    <row r="1952" s="3" customFormat="1" ht="12.75" customHeight="1" x14ac:dyDescent="0.2"/>
    <row r="1953" s="3" customFormat="1" ht="12.75" customHeight="1" x14ac:dyDescent="0.2"/>
    <row r="1954" s="3" customFormat="1" ht="12.75" customHeight="1" x14ac:dyDescent="0.2"/>
    <row r="1955" s="3" customFormat="1" ht="12.75" customHeight="1" x14ac:dyDescent="0.2"/>
    <row r="1956" s="3" customFormat="1" ht="12.75" customHeight="1" x14ac:dyDescent="0.2"/>
    <row r="1957" s="3" customFormat="1" ht="12.75" customHeight="1" x14ac:dyDescent="0.2"/>
    <row r="1958" s="3" customFormat="1" ht="12.75" customHeight="1" x14ac:dyDescent="0.2"/>
    <row r="1959" s="3" customFormat="1" ht="12.75" customHeight="1" x14ac:dyDescent="0.2"/>
    <row r="1960" s="3" customFormat="1" ht="12.75" customHeight="1" x14ac:dyDescent="0.2"/>
    <row r="1961" s="3" customFormat="1" ht="12.75" customHeight="1" x14ac:dyDescent="0.2"/>
    <row r="1962" s="3" customFormat="1" ht="12.75" customHeight="1" x14ac:dyDescent="0.2"/>
    <row r="1963" s="3" customFormat="1" ht="12.75" customHeight="1" x14ac:dyDescent="0.2"/>
    <row r="1964" s="3" customFormat="1" ht="12.75" customHeight="1" x14ac:dyDescent="0.2"/>
    <row r="1965" s="3" customFormat="1" ht="12.75" customHeight="1" x14ac:dyDescent="0.2"/>
    <row r="1966" s="3" customFormat="1" ht="12.75" customHeight="1" x14ac:dyDescent="0.2"/>
    <row r="1967" s="3" customFormat="1" ht="12.75" customHeight="1" x14ac:dyDescent="0.2"/>
    <row r="1968" s="3" customFormat="1" ht="12.75" customHeight="1" x14ac:dyDescent="0.2"/>
    <row r="1969" s="3" customFormat="1" ht="12.75" customHeight="1" x14ac:dyDescent="0.2"/>
    <row r="1970" s="3" customFormat="1" ht="12.75" customHeight="1" x14ac:dyDescent="0.2"/>
    <row r="1971" s="3" customFormat="1" ht="12.75" customHeight="1" x14ac:dyDescent="0.2"/>
    <row r="1972" s="3" customFormat="1" ht="12.75" customHeight="1" x14ac:dyDescent="0.2"/>
    <row r="1973" s="3" customFormat="1" ht="12.75" customHeight="1" x14ac:dyDescent="0.2"/>
    <row r="1974" s="3" customFormat="1" ht="12.75" customHeight="1" x14ac:dyDescent="0.2"/>
    <row r="1975" s="3" customFormat="1" ht="12.75" customHeight="1" x14ac:dyDescent="0.2"/>
    <row r="1976" s="3" customFormat="1" ht="12.75" customHeight="1" x14ac:dyDescent="0.2"/>
    <row r="1977" s="3" customFormat="1" ht="12.75" customHeight="1" x14ac:dyDescent="0.2"/>
    <row r="1978" s="3" customFormat="1" ht="12.75" customHeight="1" x14ac:dyDescent="0.2"/>
    <row r="1979" s="3" customFormat="1" ht="12.75" customHeight="1" x14ac:dyDescent="0.2"/>
    <row r="1980" s="3" customFormat="1" ht="12.75" customHeight="1" x14ac:dyDescent="0.2"/>
    <row r="1981" s="3" customFormat="1" ht="12.75" customHeight="1" x14ac:dyDescent="0.2"/>
    <row r="1982" s="3" customFormat="1" ht="12.75" customHeight="1" x14ac:dyDescent="0.2"/>
    <row r="1983" s="3" customFormat="1" ht="12.75" customHeight="1" x14ac:dyDescent="0.2"/>
    <row r="1984" s="3" customFormat="1" ht="12.75" customHeight="1" x14ac:dyDescent="0.2"/>
    <row r="1985" s="3" customFormat="1" ht="12.75" customHeight="1" x14ac:dyDescent="0.2"/>
    <row r="1986" s="3" customFormat="1" ht="12.75" customHeight="1" x14ac:dyDescent="0.2"/>
    <row r="1987" s="3" customFormat="1" ht="12.75" customHeight="1" x14ac:dyDescent="0.2"/>
    <row r="1988" s="3" customFormat="1" ht="12.75" customHeight="1" x14ac:dyDescent="0.2"/>
    <row r="1989" s="3" customFormat="1" ht="12.75" customHeight="1" x14ac:dyDescent="0.2"/>
    <row r="1990" s="3" customFormat="1" ht="12.75" customHeight="1" x14ac:dyDescent="0.2"/>
    <row r="1991" s="3" customFormat="1" ht="12.75" customHeight="1" x14ac:dyDescent="0.2"/>
    <row r="1992" s="3" customFormat="1" ht="12.75" customHeight="1" x14ac:dyDescent="0.2"/>
    <row r="1993" s="3" customFormat="1" ht="12.75" customHeight="1" x14ac:dyDescent="0.2"/>
    <row r="1994" s="3" customFormat="1" ht="12.75" customHeight="1" x14ac:dyDescent="0.2"/>
    <row r="1995" s="3" customFormat="1" ht="12.75" customHeight="1" x14ac:dyDescent="0.2"/>
    <row r="1996" s="3" customFormat="1" ht="12.75" customHeight="1" x14ac:dyDescent="0.2"/>
    <row r="1997" s="3" customFormat="1" ht="12.75" customHeight="1" x14ac:dyDescent="0.2"/>
    <row r="1998" s="3" customFormat="1" ht="12.75" customHeight="1" x14ac:dyDescent="0.2"/>
    <row r="1999" s="3" customFormat="1" ht="12.75" customHeight="1" x14ac:dyDescent="0.2"/>
    <row r="2000" s="3" customFormat="1" ht="12.75" customHeight="1" x14ac:dyDescent="0.2"/>
    <row r="2001" s="3" customFormat="1" ht="12.75" customHeight="1" x14ac:dyDescent="0.2"/>
    <row r="2002" s="3" customFormat="1" ht="12.75" customHeight="1" x14ac:dyDescent="0.2"/>
    <row r="2003" s="3" customFormat="1" ht="12.75" customHeight="1" x14ac:dyDescent="0.2"/>
    <row r="2004" s="3" customFormat="1" ht="12.75" customHeight="1" x14ac:dyDescent="0.2"/>
    <row r="2005" s="3" customFormat="1" ht="12.75" customHeight="1" x14ac:dyDescent="0.2"/>
    <row r="2006" s="3" customFormat="1" ht="12.75" customHeight="1" x14ac:dyDescent="0.2"/>
    <row r="2007" s="3" customFormat="1" ht="12.75" customHeight="1" x14ac:dyDescent="0.2"/>
    <row r="2008" s="3" customFormat="1" ht="12.75" customHeight="1" x14ac:dyDescent="0.2"/>
    <row r="2009" s="3" customFormat="1" ht="12.75" customHeight="1" x14ac:dyDescent="0.2"/>
    <row r="2010" s="3" customFormat="1" ht="12.75" customHeight="1" x14ac:dyDescent="0.2"/>
    <row r="2011" s="3" customFormat="1" ht="12.75" customHeight="1" x14ac:dyDescent="0.2"/>
    <row r="2012" s="3" customFormat="1" ht="12.75" customHeight="1" x14ac:dyDescent="0.2"/>
    <row r="2013" s="3" customFormat="1" ht="12.75" customHeight="1" x14ac:dyDescent="0.2"/>
    <row r="2014" s="3" customFormat="1" ht="12.75" customHeight="1" x14ac:dyDescent="0.2"/>
    <row r="2015" s="3" customFormat="1" ht="12.75" customHeight="1" x14ac:dyDescent="0.2"/>
    <row r="2016" s="3" customFormat="1" ht="12.75" customHeight="1" x14ac:dyDescent="0.2"/>
    <row r="2017" s="3" customFormat="1" ht="12.75" customHeight="1" x14ac:dyDescent="0.2"/>
    <row r="2018" s="3" customFormat="1" ht="12.75" customHeight="1" x14ac:dyDescent="0.2"/>
    <row r="2019" s="3" customFormat="1" ht="12.75" customHeight="1" x14ac:dyDescent="0.2"/>
    <row r="2020" s="3" customFormat="1" ht="12.75" customHeight="1" x14ac:dyDescent="0.2"/>
    <row r="2021" s="3" customFormat="1" ht="12.75" customHeight="1" x14ac:dyDescent="0.2"/>
    <row r="2022" s="3" customFormat="1" ht="12.75" customHeight="1" x14ac:dyDescent="0.2"/>
    <row r="2023" s="3" customFormat="1" ht="12.75" customHeight="1" x14ac:dyDescent="0.2"/>
    <row r="2024" s="3" customFormat="1" ht="12.75" customHeight="1" x14ac:dyDescent="0.2"/>
    <row r="2025" s="3" customFormat="1" ht="12.75" customHeight="1" x14ac:dyDescent="0.2"/>
  </sheetData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9"/>
  <sheetViews>
    <sheetView showGridLines="0" zoomScale="85" zoomScaleNormal="85" workbookViewId="0">
      <pane xSplit="1" ySplit="4" topLeftCell="B5" activePane="bottomRight" state="frozen"/>
      <selection pane="topRight"/>
      <selection pane="bottomLeft"/>
      <selection pane="bottomRight" sqref="A1:C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3" style="2" customWidth="1"/>
    <col min="4" max="4" width="14" style="2" customWidth="1"/>
    <col min="5" max="8" width="10.42578125" style="2" customWidth="1"/>
    <col min="9" max="9" width="11.42578125" style="2" customWidth="1"/>
    <col min="10" max="10" width="15.42578125" style="2" customWidth="1"/>
    <col min="11" max="257" width="11.42578125" style="2" customWidth="1"/>
  </cols>
  <sheetData>
    <row r="1" spans="1:12" ht="81.75" customHeight="1" x14ac:dyDescent="0.2">
      <c r="A1" s="405"/>
      <c r="B1" s="405"/>
      <c r="C1" s="405"/>
      <c r="D1" s="4"/>
      <c r="E1" s="406"/>
      <c r="F1" s="406"/>
      <c r="G1" s="406" t="s">
        <v>56</v>
      </c>
      <c r="H1" s="406"/>
      <c r="I1" s="33"/>
    </row>
    <row r="2" spans="1:12" ht="16.5" customHeight="1" x14ac:dyDescent="0.2">
      <c r="A2" s="407" t="s">
        <v>9</v>
      </c>
      <c r="B2" s="407" t="s">
        <v>10</v>
      </c>
      <c r="C2" s="407"/>
      <c r="D2" s="407"/>
      <c r="E2" s="407" t="s">
        <v>11</v>
      </c>
      <c r="F2" s="407"/>
      <c r="G2" s="407"/>
      <c r="H2" s="407"/>
      <c r="I2" s="33"/>
    </row>
    <row r="3" spans="1:12" ht="17.25" customHeight="1" x14ac:dyDescent="0.2">
      <c r="A3" s="407"/>
      <c r="B3" s="34" t="s">
        <v>1</v>
      </c>
      <c r="C3" s="408" t="s">
        <v>4</v>
      </c>
      <c r="D3" s="408"/>
      <c r="E3" s="407" t="s">
        <v>12</v>
      </c>
      <c r="F3" s="407"/>
      <c r="G3" s="407" t="s">
        <v>13</v>
      </c>
      <c r="H3" s="407"/>
      <c r="I3" s="33"/>
    </row>
    <row r="4" spans="1:12" ht="33.75" customHeight="1" x14ac:dyDescent="0.2">
      <c r="A4" s="407"/>
      <c r="B4" s="7" t="s">
        <v>14</v>
      </c>
      <c r="C4" s="7" t="s">
        <v>210</v>
      </c>
      <c r="D4" s="7" t="s">
        <v>211</v>
      </c>
      <c r="E4" s="34" t="s">
        <v>15</v>
      </c>
      <c r="F4" s="34" t="s">
        <v>16</v>
      </c>
      <c r="G4" s="34" t="s">
        <v>17</v>
      </c>
      <c r="H4" s="34" t="s">
        <v>18</v>
      </c>
      <c r="I4" s="33"/>
    </row>
    <row r="5" spans="1:12" ht="17.25" customHeight="1" x14ac:dyDescent="0.2">
      <c r="A5" s="10" t="s">
        <v>57</v>
      </c>
      <c r="B5" s="12">
        <v>2085.6</v>
      </c>
      <c r="C5" s="12">
        <v>2018.2999999999997</v>
      </c>
      <c r="D5" s="12">
        <v>2018.4</v>
      </c>
      <c r="E5" s="12">
        <v>0</v>
      </c>
      <c r="F5" s="12">
        <v>-3.2</v>
      </c>
      <c r="G5" s="12">
        <v>0.1000000000003638</v>
      </c>
      <c r="H5" s="12">
        <v>-67.199999999999818</v>
      </c>
      <c r="I5" s="36"/>
    </row>
    <row r="6" spans="1:12" ht="17.25" customHeight="1" x14ac:dyDescent="0.2">
      <c r="A6" s="10" t="s">
        <v>21</v>
      </c>
      <c r="B6" s="12">
        <v>280.40000000000003</v>
      </c>
      <c r="C6" s="12">
        <v>282</v>
      </c>
      <c r="D6" s="12">
        <v>281.90000000000003</v>
      </c>
      <c r="E6" s="12">
        <v>0</v>
      </c>
      <c r="F6" s="12">
        <v>0.5</v>
      </c>
      <c r="G6" s="12">
        <v>-9.9999999999965894E-2</v>
      </c>
      <c r="H6" s="12">
        <v>1.5</v>
      </c>
      <c r="I6" s="36"/>
    </row>
    <row r="7" spans="1:12" s="1" customFormat="1" ht="17.25" customHeight="1" x14ac:dyDescent="0.2">
      <c r="A7" s="13" t="s">
        <v>22</v>
      </c>
      <c r="B7" s="12">
        <v>273.10000000000002</v>
      </c>
      <c r="C7" s="12">
        <v>274.8</v>
      </c>
      <c r="D7" s="12">
        <v>274.8</v>
      </c>
      <c r="E7" s="12">
        <v>0</v>
      </c>
      <c r="F7" s="12">
        <v>0.6</v>
      </c>
      <c r="G7" s="12">
        <v>0</v>
      </c>
      <c r="H7" s="12">
        <v>1.6999999999999886</v>
      </c>
      <c r="I7" s="37"/>
      <c r="J7" s="2"/>
      <c r="K7" s="2"/>
      <c r="L7" s="2"/>
    </row>
    <row r="8" spans="1:12" s="1" customFormat="1" ht="17.25" customHeight="1" x14ac:dyDescent="0.2">
      <c r="A8" s="13" t="s">
        <v>23</v>
      </c>
      <c r="B8" s="12">
        <v>7.3</v>
      </c>
      <c r="C8" s="12">
        <v>7.1999999999999993</v>
      </c>
      <c r="D8" s="12">
        <v>7.1</v>
      </c>
      <c r="E8" s="12">
        <v>-1.4</v>
      </c>
      <c r="F8" s="12">
        <v>-2.7</v>
      </c>
      <c r="G8" s="12">
        <v>-9.9999999999999645E-2</v>
      </c>
      <c r="H8" s="12">
        <v>-0.20000000000000018</v>
      </c>
      <c r="I8" s="37"/>
      <c r="J8" s="2"/>
      <c r="K8" s="2"/>
      <c r="L8" s="2"/>
    </row>
    <row r="9" spans="1:12" ht="17.25" customHeight="1" x14ac:dyDescent="0.2">
      <c r="A9" s="10" t="s">
        <v>24</v>
      </c>
      <c r="B9" s="12">
        <v>1763.8999999999999</v>
      </c>
      <c r="C9" s="12">
        <v>1517.7000000000003</v>
      </c>
      <c r="D9" s="12">
        <v>1516.7000000000003</v>
      </c>
      <c r="E9" s="12">
        <v>-0.1</v>
      </c>
      <c r="F9" s="12">
        <v>-14</v>
      </c>
      <c r="G9" s="12">
        <v>-1</v>
      </c>
      <c r="H9" s="12">
        <v>-247.19999999999959</v>
      </c>
      <c r="I9" s="36"/>
    </row>
    <row r="10" spans="1:12" s="1" customFormat="1" ht="17.25" customHeight="1" x14ac:dyDescent="0.2">
      <c r="A10" s="13" t="s">
        <v>25</v>
      </c>
      <c r="B10" s="12">
        <v>394.6</v>
      </c>
      <c r="C10" s="12">
        <v>253.2</v>
      </c>
      <c r="D10" s="12">
        <v>252.89999999999998</v>
      </c>
      <c r="E10" s="12">
        <v>-0.1</v>
      </c>
      <c r="F10" s="12">
        <v>-35.9</v>
      </c>
      <c r="G10" s="12">
        <v>-0.30000000000001137</v>
      </c>
      <c r="H10" s="12">
        <v>-141.70000000000005</v>
      </c>
      <c r="I10" s="37"/>
      <c r="J10" s="2"/>
      <c r="K10" s="2"/>
      <c r="L10" s="2"/>
    </row>
    <row r="11" spans="1:12" s="1" customFormat="1" ht="17.25" customHeight="1" x14ac:dyDescent="0.2">
      <c r="A11" s="13" t="s">
        <v>26</v>
      </c>
      <c r="B11" s="12">
        <v>1369.3000000000002</v>
      </c>
      <c r="C11" s="12">
        <v>1264.5</v>
      </c>
      <c r="D11" s="12">
        <v>1263.8</v>
      </c>
      <c r="E11" s="12">
        <v>-0.1</v>
      </c>
      <c r="F11" s="12">
        <v>-7.7</v>
      </c>
      <c r="G11" s="12">
        <v>-0.70000000000004547</v>
      </c>
      <c r="H11" s="12">
        <v>-105.50000000000023</v>
      </c>
      <c r="I11" s="37"/>
      <c r="J11" s="2"/>
      <c r="K11" s="2"/>
      <c r="L11" s="2"/>
    </row>
    <row r="12" spans="1:12" ht="17.25" customHeight="1" x14ac:dyDescent="0.2">
      <c r="A12" s="10" t="s">
        <v>27</v>
      </c>
      <c r="B12" s="12">
        <v>2693</v>
      </c>
      <c r="C12" s="12">
        <v>2531.6000000000004</v>
      </c>
      <c r="D12" s="12">
        <v>2540.3999999999996</v>
      </c>
      <c r="E12" s="12">
        <v>0.3</v>
      </c>
      <c r="F12" s="12">
        <v>-5.7</v>
      </c>
      <c r="G12" s="12">
        <v>8.7999999999992724</v>
      </c>
      <c r="H12" s="12">
        <v>-152.60000000000036</v>
      </c>
      <c r="I12" s="36"/>
    </row>
    <row r="13" spans="1:12" ht="17.25" customHeight="1" x14ac:dyDescent="0.2">
      <c r="A13" s="14" t="s">
        <v>28</v>
      </c>
      <c r="B13" s="12">
        <v>968.4</v>
      </c>
      <c r="C13" s="12">
        <v>948.69999999999993</v>
      </c>
      <c r="D13" s="12">
        <v>943.2</v>
      </c>
      <c r="E13" s="12">
        <v>-0.6</v>
      </c>
      <c r="F13" s="12">
        <v>-2.6</v>
      </c>
      <c r="G13" s="12">
        <v>-5.4999999999998863</v>
      </c>
      <c r="H13" s="12">
        <v>-25.199999999999932</v>
      </c>
      <c r="I13" s="36"/>
    </row>
    <row r="14" spans="1:12" ht="17.25" customHeight="1" x14ac:dyDescent="0.2">
      <c r="A14" s="14" t="s">
        <v>29</v>
      </c>
      <c r="B14" s="12">
        <v>469.7</v>
      </c>
      <c r="C14" s="12">
        <v>315.00000000000006</v>
      </c>
      <c r="D14" s="12">
        <v>315.00000000000006</v>
      </c>
      <c r="E14" s="12">
        <v>0</v>
      </c>
      <c r="F14" s="12">
        <v>-32.9</v>
      </c>
      <c r="G14" s="12">
        <v>0</v>
      </c>
      <c r="H14" s="12">
        <v>-154.69999999999993</v>
      </c>
      <c r="I14" s="36"/>
    </row>
    <row r="15" spans="1:12" ht="17.25" customHeight="1" x14ac:dyDescent="0.2">
      <c r="A15" s="14" t="s">
        <v>30</v>
      </c>
      <c r="B15" s="12">
        <v>1254.9000000000001</v>
      </c>
      <c r="C15" s="12">
        <v>1267.8999999999999</v>
      </c>
      <c r="D15" s="12">
        <v>1282.2</v>
      </c>
      <c r="E15" s="12">
        <v>1.1000000000000001</v>
      </c>
      <c r="F15" s="12">
        <v>2.2000000000000002</v>
      </c>
      <c r="G15" s="12">
        <v>14.300000000000182</v>
      </c>
      <c r="H15" s="12">
        <v>27.299999999999955</v>
      </c>
      <c r="I15" s="36"/>
    </row>
    <row r="16" spans="1:12" ht="17.25" customHeight="1" x14ac:dyDescent="0.2">
      <c r="A16" s="13" t="s">
        <v>31</v>
      </c>
      <c r="B16" s="12">
        <v>908.5</v>
      </c>
      <c r="C16" s="12">
        <v>793</v>
      </c>
      <c r="D16" s="12">
        <v>793</v>
      </c>
      <c r="E16" s="12">
        <v>0</v>
      </c>
      <c r="F16" s="12">
        <v>-12.7</v>
      </c>
      <c r="G16" s="12">
        <v>0</v>
      </c>
      <c r="H16" s="12">
        <v>-115.5</v>
      </c>
      <c r="I16" s="36"/>
    </row>
    <row r="17" spans="1:9" ht="17.25" customHeight="1" x14ac:dyDescent="0.2">
      <c r="A17" s="15" t="s">
        <v>32</v>
      </c>
      <c r="B17" s="12">
        <v>347.3</v>
      </c>
      <c r="C17" s="12">
        <v>333.20000000000005</v>
      </c>
      <c r="D17" s="12">
        <v>333.20000000000005</v>
      </c>
      <c r="E17" s="12">
        <v>0</v>
      </c>
      <c r="F17" s="12">
        <v>-4.0999999999999996</v>
      </c>
      <c r="G17" s="12">
        <v>0</v>
      </c>
      <c r="H17" s="12">
        <v>-14.099999999999966</v>
      </c>
      <c r="I17" s="36"/>
    </row>
    <row r="18" spans="1:9" ht="17.25" customHeight="1" x14ac:dyDescent="0.2">
      <c r="A18" s="15" t="s">
        <v>33</v>
      </c>
      <c r="B18" s="12">
        <v>169</v>
      </c>
      <c r="C18" s="12">
        <v>116.2</v>
      </c>
      <c r="D18" s="12">
        <v>116.2</v>
      </c>
      <c r="E18" s="12">
        <v>0</v>
      </c>
      <c r="F18" s="12">
        <v>-31.2</v>
      </c>
      <c r="G18" s="12">
        <v>0</v>
      </c>
      <c r="H18" s="12">
        <v>-52.8</v>
      </c>
      <c r="I18" s="36"/>
    </row>
    <row r="19" spans="1:9" ht="17.25" customHeight="1" x14ac:dyDescent="0.2">
      <c r="A19" s="15" t="s">
        <v>34</v>
      </c>
      <c r="B19" s="12">
        <v>392.20000000000005</v>
      </c>
      <c r="C19" s="12">
        <v>343.6</v>
      </c>
      <c r="D19" s="12">
        <v>343.6</v>
      </c>
      <c r="E19" s="12">
        <v>0</v>
      </c>
      <c r="F19" s="12">
        <v>-12.4</v>
      </c>
      <c r="G19" s="12">
        <v>0</v>
      </c>
      <c r="H19" s="12">
        <v>-48.600000000000023</v>
      </c>
      <c r="I19" s="36"/>
    </row>
    <row r="20" spans="1:9" ht="17.25" customHeight="1" x14ac:dyDescent="0.2">
      <c r="A20" s="13" t="s">
        <v>35</v>
      </c>
      <c r="B20" s="12">
        <v>1400.1000000000001</v>
      </c>
      <c r="C20" s="12">
        <v>1356.7</v>
      </c>
      <c r="D20" s="12">
        <v>1372.1</v>
      </c>
      <c r="E20" s="12">
        <v>1.1000000000000001</v>
      </c>
      <c r="F20" s="12">
        <v>-2</v>
      </c>
      <c r="G20" s="12">
        <v>15.399999999999864</v>
      </c>
      <c r="H20" s="12">
        <v>-28.000000000000227</v>
      </c>
      <c r="I20" s="36"/>
    </row>
    <row r="21" spans="1:9" ht="17.25" customHeight="1" x14ac:dyDescent="0.2">
      <c r="A21" s="15" t="s">
        <v>32</v>
      </c>
      <c r="B21" s="12">
        <v>294.60000000000002</v>
      </c>
      <c r="C21" s="12">
        <v>286.7</v>
      </c>
      <c r="D21" s="12">
        <v>287.2</v>
      </c>
      <c r="E21" s="12">
        <v>0.2</v>
      </c>
      <c r="F21" s="12">
        <v>-2.5</v>
      </c>
      <c r="G21" s="12">
        <v>0.5</v>
      </c>
      <c r="H21" s="12">
        <v>-7.4000000000000341</v>
      </c>
      <c r="I21" s="36"/>
    </row>
    <row r="22" spans="1:9" ht="17.25" customHeight="1" x14ac:dyDescent="0.2">
      <c r="A22" s="15" t="s">
        <v>33</v>
      </c>
      <c r="B22" s="12">
        <v>286.60000000000002</v>
      </c>
      <c r="C22" s="12">
        <v>184.50000000000003</v>
      </c>
      <c r="D22" s="12">
        <v>184.50000000000003</v>
      </c>
      <c r="E22" s="12">
        <v>0</v>
      </c>
      <c r="F22" s="12">
        <v>-35.6</v>
      </c>
      <c r="G22" s="12">
        <v>0</v>
      </c>
      <c r="H22" s="12">
        <v>-102.1</v>
      </c>
      <c r="I22" s="36"/>
    </row>
    <row r="23" spans="1:9" ht="17.25" customHeight="1" x14ac:dyDescent="0.2">
      <c r="A23" s="15" t="s">
        <v>34</v>
      </c>
      <c r="B23" s="12">
        <v>818.90000000000009</v>
      </c>
      <c r="C23" s="12">
        <v>885.5</v>
      </c>
      <c r="D23" s="12">
        <v>900.4</v>
      </c>
      <c r="E23" s="12">
        <v>1.7</v>
      </c>
      <c r="F23" s="12">
        <v>10</v>
      </c>
      <c r="G23" s="12">
        <v>14.899999999999977</v>
      </c>
      <c r="H23" s="12">
        <v>81.499999999999886</v>
      </c>
      <c r="I23" s="36"/>
    </row>
    <row r="24" spans="1:9" ht="17.25" customHeight="1" x14ac:dyDescent="0.2">
      <c r="A24" s="13" t="s">
        <v>36</v>
      </c>
      <c r="B24" s="12">
        <v>384.4</v>
      </c>
      <c r="C24" s="12">
        <v>381.9</v>
      </c>
      <c r="D24" s="12">
        <v>375.3</v>
      </c>
      <c r="E24" s="12">
        <v>-1.7</v>
      </c>
      <c r="F24" s="12">
        <v>-2.4</v>
      </c>
      <c r="G24" s="12">
        <v>-6.5999999999999659</v>
      </c>
      <c r="H24" s="12">
        <v>-9.0999999999999659</v>
      </c>
      <c r="I24" s="36"/>
    </row>
    <row r="25" spans="1:9" ht="17.25" customHeight="1" x14ac:dyDescent="0.2">
      <c r="A25" s="15" t="s">
        <v>32</v>
      </c>
      <c r="B25" s="12">
        <v>326.5</v>
      </c>
      <c r="C25" s="12">
        <v>328.8</v>
      </c>
      <c r="D25" s="12">
        <v>322.8</v>
      </c>
      <c r="E25" s="12">
        <v>-1.8</v>
      </c>
      <c r="F25" s="12">
        <v>-1.1000000000000001</v>
      </c>
      <c r="G25" s="12">
        <v>-6</v>
      </c>
      <c r="H25" s="12">
        <v>-3.6999999999999886</v>
      </c>
      <c r="I25" s="36"/>
    </row>
    <row r="26" spans="1:9" ht="17.25" customHeight="1" x14ac:dyDescent="0.2">
      <c r="A26" s="15" t="s">
        <v>33</v>
      </c>
      <c r="B26" s="12">
        <v>14.1</v>
      </c>
      <c r="C26" s="12">
        <v>14.299999999999999</v>
      </c>
      <c r="D26" s="12">
        <v>14.299999999999999</v>
      </c>
      <c r="E26" s="12">
        <v>0</v>
      </c>
      <c r="F26" s="12">
        <v>1.4</v>
      </c>
      <c r="G26" s="12">
        <v>0</v>
      </c>
      <c r="H26" s="12">
        <v>0.19999999999999929</v>
      </c>
      <c r="I26" s="36"/>
    </row>
    <row r="27" spans="1:9" ht="17.25" customHeight="1" x14ac:dyDescent="0.2">
      <c r="A27" s="15" t="s">
        <v>34</v>
      </c>
      <c r="B27" s="12">
        <v>43.8</v>
      </c>
      <c r="C27" s="12">
        <v>38.799999999999997</v>
      </c>
      <c r="D27" s="12">
        <v>38.199999999999996</v>
      </c>
      <c r="E27" s="12">
        <v>-1.5</v>
      </c>
      <c r="F27" s="12">
        <v>-12.8</v>
      </c>
      <c r="G27" s="12">
        <v>-0.60000000000000142</v>
      </c>
      <c r="H27" s="12">
        <v>-5.6000000000000014</v>
      </c>
      <c r="I27" s="36"/>
    </row>
    <row r="28" spans="1:9" ht="17.25" customHeight="1" x14ac:dyDescent="0.2">
      <c r="A28" s="10" t="s">
        <v>37</v>
      </c>
      <c r="B28" s="12">
        <v>901.8</v>
      </c>
      <c r="C28" s="12">
        <v>570</v>
      </c>
      <c r="D28" s="12">
        <v>570.20000000000005</v>
      </c>
      <c r="E28" s="12">
        <v>0</v>
      </c>
      <c r="F28" s="12">
        <v>-36.799999999999997</v>
      </c>
      <c r="G28" s="12">
        <v>0.20000000000004547</v>
      </c>
      <c r="H28" s="12">
        <v>-331.59999999999991</v>
      </c>
      <c r="I28" s="36"/>
    </row>
    <row r="29" spans="1:9" ht="17.25" customHeight="1" x14ac:dyDescent="0.2">
      <c r="A29" s="10" t="s">
        <v>38</v>
      </c>
      <c r="B29" s="12">
        <v>61.900000000000006</v>
      </c>
      <c r="C29" s="12">
        <v>77.599999999999994</v>
      </c>
      <c r="D29" s="12">
        <v>77.599999999999994</v>
      </c>
      <c r="E29" s="12">
        <v>0</v>
      </c>
      <c r="F29" s="12">
        <v>25.4</v>
      </c>
      <c r="G29" s="12">
        <v>0</v>
      </c>
      <c r="H29" s="12">
        <v>15.699999999999989</v>
      </c>
      <c r="I29" s="36"/>
    </row>
    <row r="30" spans="1:9" ht="17.25" customHeight="1" x14ac:dyDescent="0.2">
      <c r="A30" s="10" t="s">
        <v>39</v>
      </c>
      <c r="B30" s="12">
        <v>69.599999999999994</v>
      </c>
      <c r="C30" s="12">
        <v>70.699999999999989</v>
      </c>
      <c r="D30" s="12">
        <v>70.699999999999989</v>
      </c>
      <c r="E30" s="12">
        <v>0</v>
      </c>
      <c r="F30" s="12">
        <v>1.6</v>
      </c>
      <c r="G30" s="12">
        <v>0</v>
      </c>
      <c r="H30" s="12">
        <v>1.0999999999999943</v>
      </c>
      <c r="I30" s="36"/>
    </row>
    <row r="31" spans="1:9" ht="17.25" customHeight="1" x14ac:dyDescent="0.2">
      <c r="A31" s="10" t="s">
        <v>40</v>
      </c>
      <c r="B31" s="12">
        <v>21838</v>
      </c>
      <c r="C31" s="12">
        <v>22598.000000000004</v>
      </c>
      <c r="D31" s="12">
        <v>22600.500000000004</v>
      </c>
      <c r="E31" s="12">
        <v>0</v>
      </c>
      <c r="F31" s="12">
        <v>3.5</v>
      </c>
      <c r="G31" s="12">
        <v>2.5</v>
      </c>
      <c r="H31" s="12">
        <v>762.50000000000364</v>
      </c>
      <c r="I31" s="36"/>
    </row>
    <row r="32" spans="1:9" ht="17.25" customHeight="1" x14ac:dyDescent="0.2">
      <c r="A32" s="13" t="s">
        <v>41</v>
      </c>
      <c r="B32" s="12">
        <v>3772.6000000000004</v>
      </c>
      <c r="C32" s="12">
        <v>4100.4000000000005</v>
      </c>
      <c r="D32" s="12">
        <v>4100.7</v>
      </c>
      <c r="E32" s="12">
        <v>0</v>
      </c>
      <c r="F32" s="12">
        <v>8.6999999999999993</v>
      </c>
      <c r="G32" s="12">
        <v>0.2999999999992724</v>
      </c>
      <c r="H32" s="12">
        <v>328.09999999999945</v>
      </c>
      <c r="I32" s="36"/>
    </row>
    <row r="33" spans="1:9" ht="17.25" customHeight="1" x14ac:dyDescent="0.2">
      <c r="A33" s="13" t="s">
        <v>42</v>
      </c>
      <c r="B33" s="12">
        <v>17430.3</v>
      </c>
      <c r="C33" s="12">
        <v>17819.7</v>
      </c>
      <c r="D33" s="12">
        <v>17824.900000000001</v>
      </c>
      <c r="E33" s="12">
        <v>0</v>
      </c>
      <c r="F33" s="12">
        <v>2.2999999999999998</v>
      </c>
      <c r="G33" s="12">
        <v>5.2000000000007276</v>
      </c>
      <c r="H33" s="12">
        <v>394.60000000000218</v>
      </c>
      <c r="I33" s="36"/>
    </row>
    <row r="34" spans="1:9" ht="17.25" customHeight="1" x14ac:dyDescent="0.2">
      <c r="A34" s="13" t="s">
        <v>43</v>
      </c>
      <c r="B34" s="12">
        <v>635.1</v>
      </c>
      <c r="C34" s="12">
        <v>677.9</v>
      </c>
      <c r="D34" s="12">
        <v>674.9</v>
      </c>
      <c r="E34" s="12">
        <v>-0.4</v>
      </c>
      <c r="F34" s="12">
        <v>6.3</v>
      </c>
      <c r="G34" s="12">
        <v>-3</v>
      </c>
      <c r="H34" s="12">
        <v>39.799999999999955</v>
      </c>
      <c r="I34" s="36"/>
    </row>
    <row r="35" spans="1:9" ht="17.25" customHeight="1" x14ac:dyDescent="0.2">
      <c r="A35" s="10" t="s">
        <v>44</v>
      </c>
      <c r="B35" s="12">
        <v>47346.1</v>
      </c>
      <c r="C35" s="12">
        <v>48610.299999999996</v>
      </c>
      <c r="D35" s="12">
        <v>48608.6</v>
      </c>
      <c r="E35" s="12">
        <v>0</v>
      </c>
      <c r="F35" s="12">
        <v>2.7</v>
      </c>
      <c r="G35" s="12">
        <v>-1.6999999999970896</v>
      </c>
      <c r="H35" s="12">
        <v>1262.5</v>
      </c>
      <c r="I35" s="36"/>
    </row>
    <row r="36" spans="1:9" ht="17.25" customHeight="1" x14ac:dyDescent="0.2">
      <c r="A36" s="10" t="s">
        <v>45</v>
      </c>
      <c r="B36" s="12">
        <v>1632</v>
      </c>
      <c r="C36" s="12">
        <v>2168.6999999999998</v>
      </c>
      <c r="D36" s="12">
        <v>2169</v>
      </c>
      <c r="E36" s="12">
        <v>0</v>
      </c>
      <c r="F36" s="12">
        <v>32.9</v>
      </c>
      <c r="G36" s="12">
        <v>0.3000000000001819</v>
      </c>
      <c r="H36" s="12">
        <v>537</v>
      </c>
      <c r="I36" s="36"/>
    </row>
    <row r="37" spans="1:9" ht="17.25" customHeight="1" x14ac:dyDescent="0.2">
      <c r="A37" s="16" t="s">
        <v>46</v>
      </c>
      <c r="B37" s="17">
        <v>78672.299999999988</v>
      </c>
      <c r="C37" s="17">
        <v>80444.900000000009</v>
      </c>
      <c r="D37" s="17">
        <v>80454.000000000015</v>
      </c>
      <c r="E37" s="18">
        <v>0</v>
      </c>
      <c r="F37" s="19">
        <v>2.2999999999999998</v>
      </c>
      <c r="G37" s="19">
        <v>9.1000000000058208</v>
      </c>
      <c r="H37" s="19">
        <v>1781.7000000000262</v>
      </c>
      <c r="I37" s="36"/>
    </row>
    <row r="38" spans="1:9" ht="17.25" customHeight="1" x14ac:dyDescent="0.2">
      <c r="A38" s="407" t="s">
        <v>47</v>
      </c>
      <c r="B38" s="409" t="s">
        <v>10</v>
      </c>
      <c r="C38" s="409"/>
      <c r="D38" s="409"/>
      <c r="E38" s="407" t="s">
        <v>11</v>
      </c>
      <c r="F38" s="407"/>
      <c r="G38" s="407"/>
      <c r="H38" s="407"/>
      <c r="I38" s="33"/>
    </row>
    <row r="39" spans="1:9" ht="17.25" customHeight="1" x14ac:dyDescent="0.2">
      <c r="A39" s="407"/>
      <c r="B39" s="35" t="s">
        <v>3</v>
      </c>
      <c r="C39" s="408" t="s">
        <v>6</v>
      </c>
      <c r="D39" s="408"/>
      <c r="E39" s="407" t="s">
        <v>12</v>
      </c>
      <c r="F39" s="407"/>
      <c r="G39" s="407" t="s">
        <v>13</v>
      </c>
      <c r="H39" s="407"/>
      <c r="I39" s="33"/>
    </row>
    <row r="40" spans="1:9" ht="33.75" customHeight="1" x14ac:dyDescent="0.2">
      <c r="A40" s="407"/>
      <c r="B40" s="7" t="s">
        <v>14</v>
      </c>
      <c r="C40" s="7" t="s">
        <v>210</v>
      </c>
      <c r="D40" s="7" t="s">
        <v>211</v>
      </c>
      <c r="E40" s="34" t="s">
        <v>15</v>
      </c>
      <c r="F40" s="34" t="s">
        <v>16</v>
      </c>
      <c r="G40" s="34" t="s">
        <v>17</v>
      </c>
      <c r="H40" s="34" t="s">
        <v>18</v>
      </c>
      <c r="I40" s="33"/>
    </row>
    <row r="41" spans="1:9" ht="17.25" customHeight="1" x14ac:dyDescent="0.2">
      <c r="A41" s="10" t="s">
        <v>48</v>
      </c>
      <c r="B41" s="12">
        <v>545.79999999999995</v>
      </c>
      <c r="C41" s="12">
        <v>531.79999999999995</v>
      </c>
      <c r="D41" s="12">
        <v>531.6</v>
      </c>
      <c r="E41" s="12">
        <v>0</v>
      </c>
      <c r="F41" s="12">
        <v>-2.6</v>
      </c>
      <c r="G41" s="12">
        <v>-0.19999999999993179</v>
      </c>
      <c r="H41" s="12">
        <v>-14.199999999999932</v>
      </c>
      <c r="I41" s="33"/>
    </row>
    <row r="42" spans="1:9" ht="17.25" customHeight="1" x14ac:dyDescent="0.2">
      <c r="A42" s="10" t="s">
        <v>49</v>
      </c>
      <c r="B42" s="12">
        <v>211.9</v>
      </c>
      <c r="C42" s="12">
        <v>370.7</v>
      </c>
      <c r="D42" s="12">
        <v>370.7</v>
      </c>
      <c r="E42" s="12">
        <v>0</v>
      </c>
      <c r="F42" s="12">
        <v>74.900000000000006</v>
      </c>
      <c r="G42" s="12">
        <v>0</v>
      </c>
      <c r="H42" s="12">
        <v>158.79999999999998</v>
      </c>
      <c r="I42" s="33"/>
    </row>
    <row r="43" spans="1:9" ht="17.25" customHeight="1" x14ac:dyDescent="0.2">
      <c r="A43" s="10" t="s">
        <v>50</v>
      </c>
      <c r="B43" s="12">
        <v>2.1</v>
      </c>
      <c r="C43" s="12">
        <v>2.2999999999999998</v>
      </c>
      <c r="D43" s="12">
        <v>2.2999999999999998</v>
      </c>
      <c r="E43" s="12">
        <v>0</v>
      </c>
      <c r="F43" s="12">
        <v>9.5</v>
      </c>
      <c r="G43" s="12">
        <v>0</v>
      </c>
      <c r="H43" s="12">
        <v>0.19999999999999973</v>
      </c>
      <c r="I43" s="33"/>
    </row>
    <row r="44" spans="1:9" ht="17.25" customHeight="1" x14ac:dyDescent="0.2">
      <c r="A44" s="10" t="s">
        <v>51</v>
      </c>
      <c r="B44" s="12">
        <v>139.19999999999999</v>
      </c>
      <c r="C44" s="12">
        <v>152.9</v>
      </c>
      <c r="D44" s="12">
        <v>152.9</v>
      </c>
      <c r="E44" s="12">
        <v>0</v>
      </c>
      <c r="F44" s="12">
        <v>9.8000000000000007</v>
      </c>
      <c r="G44" s="12">
        <v>0</v>
      </c>
      <c r="H44" s="12">
        <v>13.700000000000017</v>
      </c>
      <c r="I44" s="33"/>
    </row>
    <row r="45" spans="1:9" ht="17.25" customHeight="1" x14ac:dyDescent="0.2">
      <c r="A45" s="10" t="s">
        <v>52</v>
      </c>
      <c r="B45" s="12">
        <v>2445.9</v>
      </c>
      <c r="C45" s="12">
        <v>1946.8000000000002</v>
      </c>
      <c r="D45" s="12">
        <v>1927.1</v>
      </c>
      <c r="E45" s="12">
        <v>-1</v>
      </c>
      <c r="F45" s="12">
        <v>-21.2</v>
      </c>
      <c r="G45" s="12">
        <v>-19.700000000000273</v>
      </c>
      <c r="H45" s="12">
        <v>-518.80000000000018</v>
      </c>
      <c r="I45" s="33"/>
    </row>
    <row r="46" spans="1:9" ht="17.25" customHeight="1" x14ac:dyDescent="0.2">
      <c r="A46" s="10" t="s">
        <v>53</v>
      </c>
      <c r="B46" s="12">
        <v>11.4</v>
      </c>
      <c r="C46" s="12">
        <v>11.9</v>
      </c>
      <c r="D46" s="12">
        <v>11.9</v>
      </c>
      <c r="E46" s="12">
        <v>0</v>
      </c>
      <c r="F46" s="12">
        <v>4.4000000000000004</v>
      </c>
      <c r="G46" s="12">
        <v>0</v>
      </c>
      <c r="H46" s="12">
        <v>0.5</v>
      </c>
      <c r="I46" s="33"/>
    </row>
    <row r="47" spans="1:9" ht="17.25" customHeight="1" x14ac:dyDescent="0.2">
      <c r="A47" s="16" t="s">
        <v>46</v>
      </c>
      <c r="B47" s="17">
        <v>3356.3</v>
      </c>
      <c r="C47" s="17">
        <v>3016.4</v>
      </c>
      <c r="D47" s="17">
        <v>2996.5</v>
      </c>
      <c r="E47" s="17">
        <v>-0.7</v>
      </c>
      <c r="F47" s="17">
        <v>-10.7</v>
      </c>
      <c r="G47" s="19">
        <v>-19.900000000000091</v>
      </c>
      <c r="H47" s="19">
        <v>-359.80000000000018</v>
      </c>
      <c r="I47" s="33"/>
    </row>
    <row r="48" spans="1:9" ht="17.25" customHeight="1" x14ac:dyDescent="0.2">
      <c r="A48" s="39" t="s">
        <v>58</v>
      </c>
      <c r="B48" s="40">
        <v>82028.599999999991</v>
      </c>
      <c r="C48" s="40">
        <v>83461.3</v>
      </c>
      <c r="D48" s="40">
        <v>83450.500000000015</v>
      </c>
      <c r="E48" s="40">
        <v>0</v>
      </c>
      <c r="F48" s="40">
        <v>1.7</v>
      </c>
      <c r="G48" s="41">
        <v>-10.799999999988358</v>
      </c>
      <c r="H48" s="41">
        <v>1421.9000000000233</v>
      </c>
      <c r="I48" s="33"/>
    </row>
    <row r="49" spans="1:9" ht="13.5" customHeight="1" x14ac:dyDescent="0.2">
      <c r="A49" s="25" t="s">
        <v>7</v>
      </c>
      <c r="B49" s="26"/>
      <c r="C49" s="26"/>
      <c r="D49" s="26"/>
      <c r="E49" s="26"/>
      <c r="F49" s="26"/>
      <c r="G49" s="26"/>
      <c r="H49" s="26"/>
      <c r="I49" s="33"/>
    </row>
    <row r="50" spans="1:9" ht="20.25" customHeight="1" x14ac:dyDescent="0.2">
      <c r="A50" s="25" t="s">
        <v>212</v>
      </c>
      <c r="B50" s="26"/>
      <c r="C50" s="26"/>
      <c r="D50" s="26"/>
      <c r="E50" s="26"/>
      <c r="F50" s="26"/>
      <c r="G50" s="26"/>
      <c r="H50" s="26"/>
      <c r="I50" s="33"/>
    </row>
    <row r="59" spans="1:9" ht="20.25" customHeight="1" x14ac:dyDescent="0.2">
      <c r="D59" s="42"/>
    </row>
  </sheetData>
  <mergeCells count="15">
    <mergeCell ref="A38:A40"/>
    <mergeCell ref="B38:D38"/>
    <mergeCell ref="E38:H38"/>
    <mergeCell ref="C39:D39"/>
    <mergeCell ref="E39:F39"/>
    <mergeCell ref="G39:H39"/>
    <mergeCell ref="A1:C1"/>
    <mergeCell ref="E1:F1"/>
    <mergeCell ref="G1:H1"/>
    <mergeCell ref="A2:A4"/>
    <mergeCell ref="B2:D2"/>
    <mergeCell ref="E2:H2"/>
    <mergeCell ref="C3:D3"/>
    <mergeCell ref="E3:F3"/>
    <mergeCell ref="G3:H3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72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2.42578125" style="2" customWidth="1"/>
    <col min="3" max="3" width="14" style="2" customWidth="1"/>
    <col min="4" max="4" width="12.42578125" style="2" customWidth="1"/>
    <col min="5" max="8" width="10.42578125" style="2" customWidth="1"/>
    <col min="9" max="9" width="12.42578125" style="2" customWidth="1"/>
    <col min="10" max="10" width="18.42578125" style="2" customWidth="1"/>
    <col min="11" max="257" width="11.42578125" style="2" customWidth="1"/>
  </cols>
  <sheetData>
    <row r="1" spans="1:10" ht="11.25" customHeight="1" x14ac:dyDescent="0.2">
      <c r="A1" s="410"/>
      <c r="B1" s="410"/>
      <c r="C1" s="410"/>
      <c r="D1" s="410"/>
      <c r="E1" s="410"/>
      <c r="F1" s="410"/>
      <c r="G1" s="410"/>
      <c r="H1" s="410"/>
      <c r="I1" s="26"/>
    </row>
    <row r="2" spans="1:10" ht="17.25" customHeight="1" x14ac:dyDescent="0.2">
      <c r="I2" s="26"/>
    </row>
    <row r="3" spans="1:10" ht="17.25" customHeight="1" x14ac:dyDescent="0.2">
      <c r="I3" s="26"/>
    </row>
    <row r="4" spans="1:10" ht="17.25" customHeight="1" x14ac:dyDescent="0.2">
      <c r="I4" s="26"/>
    </row>
    <row r="5" spans="1:10" ht="17.25" customHeight="1" x14ac:dyDescent="0.2">
      <c r="I5" s="26"/>
    </row>
    <row r="6" spans="1:10" ht="17.25" customHeight="1" x14ac:dyDescent="0.2">
      <c r="A6" s="411" t="s">
        <v>9</v>
      </c>
      <c r="B6" s="411" t="s">
        <v>10</v>
      </c>
      <c r="C6" s="411"/>
      <c r="D6" s="411"/>
      <c r="E6" s="411" t="s">
        <v>11</v>
      </c>
      <c r="F6" s="411"/>
      <c r="G6" s="411"/>
      <c r="H6" s="411"/>
      <c r="I6" s="26"/>
    </row>
    <row r="7" spans="1:10" ht="17.25" customHeight="1" x14ac:dyDescent="0.2">
      <c r="A7" s="411"/>
      <c r="B7" s="5" t="s">
        <v>1</v>
      </c>
      <c r="C7" s="413" t="s">
        <v>4</v>
      </c>
      <c r="D7" s="413"/>
      <c r="E7" s="414" t="s">
        <v>12</v>
      </c>
      <c r="F7" s="414"/>
      <c r="G7" s="414" t="s">
        <v>13</v>
      </c>
      <c r="H7" s="414"/>
      <c r="I7" s="26"/>
    </row>
    <row r="8" spans="1:10" ht="33.75" customHeight="1" x14ac:dyDescent="0.2">
      <c r="A8" s="412"/>
      <c r="B8" s="44" t="s">
        <v>14</v>
      </c>
      <c r="C8" s="7" t="s">
        <v>210</v>
      </c>
      <c r="D8" s="7" t="s">
        <v>211</v>
      </c>
      <c r="E8" s="45" t="s">
        <v>15</v>
      </c>
      <c r="F8" s="45" t="s">
        <v>16</v>
      </c>
      <c r="G8" s="46" t="s">
        <v>17</v>
      </c>
      <c r="H8" s="46" t="s">
        <v>18</v>
      </c>
      <c r="I8" s="47"/>
    </row>
    <row r="9" spans="1:10" ht="17.25" customHeight="1" x14ac:dyDescent="0.2">
      <c r="A9" s="10" t="s">
        <v>19</v>
      </c>
      <c r="B9" s="48">
        <v>2776.1030074798623</v>
      </c>
      <c r="C9" s="48">
        <v>2870.1136751721747</v>
      </c>
      <c r="D9" s="48">
        <v>2910.4034227110583</v>
      </c>
      <c r="E9" s="50">
        <v>1.4</v>
      </c>
      <c r="F9" s="50">
        <v>4.8</v>
      </c>
      <c r="G9" s="50">
        <v>40.289747538883603</v>
      </c>
      <c r="H9" s="50">
        <v>134.30041523119598</v>
      </c>
      <c r="I9" s="26"/>
    </row>
    <row r="10" spans="1:10" ht="17.25" customHeight="1" x14ac:dyDescent="0.2">
      <c r="A10" s="10" t="s">
        <v>20</v>
      </c>
      <c r="B10" s="49">
        <v>1956.9909223245111</v>
      </c>
      <c r="C10" s="49">
        <v>2023.7337706981127</v>
      </c>
      <c r="D10" s="49">
        <v>2052.9281270313122</v>
      </c>
      <c r="E10" s="12">
        <v>1.4</v>
      </c>
      <c r="F10" s="12">
        <v>4.9000000000000004</v>
      </c>
      <c r="G10" s="12">
        <v>29.194356333199494</v>
      </c>
      <c r="H10" s="12">
        <v>95.93720470680114</v>
      </c>
      <c r="I10" s="26"/>
    </row>
    <row r="11" spans="1:10" ht="17.25" customHeight="1" x14ac:dyDescent="0.2">
      <c r="A11" s="10" t="s">
        <v>21</v>
      </c>
      <c r="B11" s="49">
        <v>4135.9472182596282</v>
      </c>
      <c r="C11" s="49">
        <v>4545.6159574468093</v>
      </c>
      <c r="D11" s="49">
        <v>4546.953884356154</v>
      </c>
      <c r="E11" s="12">
        <v>0</v>
      </c>
      <c r="F11" s="12">
        <v>9.9</v>
      </c>
      <c r="G11" s="12">
        <v>1.3379269093447874</v>
      </c>
      <c r="H11" s="12">
        <v>411.00666609652581</v>
      </c>
      <c r="I11" s="26"/>
      <c r="J11" s="1"/>
    </row>
    <row r="12" spans="1:10" s="1" customFormat="1" ht="17.25" customHeight="1" x14ac:dyDescent="0.2">
      <c r="A12" s="13" t="s">
        <v>22</v>
      </c>
      <c r="B12" s="49">
        <v>4202.0684730867806</v>
      </c>
      <c r="C12" s="49">
        <v>4620.522561863173</v>
      </c>
      <c r="D12" s="49">
        <v>4620.522561863173</v>
      </c>
      <c r="E12" s="12">
        <v>0</v>
      </c>
      <c r="F12" s="12">
        <v>10</v>
      </c>
      <c r="G12" s="12">
        <v>0</v>
      </c>
      <c r="H12" s="12">
        <v>418.45408877639238</v>
      </c>
      <c r="I12" s="51"/>
    </row>
    <row r="13" spans="1:10" s="1" customFormat="1" ht="17.25" customHeight="1" x14ac:dyDescent="0.2">
      <c r="A13" s="13" t="s">
        <v>23</v>
      </c>
      <c r="B13" s="49">
        <v>1662.2876712328766</v>
      </c>
      <c r="C13" s="49">
        <v>1686.6805555555559</v>
      </c>
      <c r="D13" s="49">
        <v>1699.5352112676057</v>
      </c>
      <c r="E13" s="12">
        <v>0.8</v>
      </c>
      <c r="F13" s="12">
        <v>2.2000000000000002</v>
      </c>
      <c r="G13" s="12">
        <v>12.854655712049862</v>
      </c>
      <c r="H13" s="12">
        <v>37.247540034729127</v>
      </c>
      <c r="I13" s="51"/>
      <c r="J13" s="2"/>
    </row>
    <row r="14" spans="1:10" ht="17.25" customHeight="1" x14ac:dyDescent="0.2">
      <c r="A14" s="10" t="s">
        <v>24</v>
      </c>
      <c r="B14" s="49">
        <v>7232.5542264300693</v>
      </c>
      <c r="C14" s="49">
        <v>7301.8213085590032</v>
      </c>
      <c r="D14" s="49">
        <v>7302.6659853629581</v>
      </c>
      <c r="E14" s="12">
        <v>0</v>
      </c>
      <c r="F14" s="12">
        <v>1</v>
      </c>
      <c r="G14" s="12">
        <v>0.84467680395482603</v>
      </c>
      <c r="H14" s="12">
        <v>70.111758932888733</v>
      </c>
      <c r="I14" s="26"/>
      <c r="J14" s="1"/>
    </row>
    <row r="15" spans="1:10" s="1" customFormat="1" ht="17.25" customHeight="1" x14ac:dyDescent="0.2">
      <c r="A15" s="13" t="s">
        <v>25</v>
      </c>
      <c r="B15" s="49">
        <v>2934.6543335022802</v>
      </c>
      <c r="C15" s="49">
        <v>2549.0177725118483</v>
      </c>
      <c r="D15" s="49">
        <v>2548.2158956109133</v>
      </c>
      <c r="E15" s="12">
        <v>0</v>
      </c>
      <c r="F15" s="12">
        <v>-13.2</v>
      </c>
      <c r="G15" s="12">
        <v>-0.80187690093498531</v>
      </c>
      <c r="H15" s="12">
        <v>-386.4384378913669</v>
      </c>
      <c r="I15" s="51"/>
    </row>
    <row r="16" spans="1:10" s="1" customFormat="1" ht="17.25" customHeight="1" x14ac:dyDescent="0.2">
      <c r="A16" s="13" t="s">
        <v>26</v>
      </c>
      <c r="B16" s="49">
        <v>8471.1077192726207</v>
      </c>
      <c r="C16" s="49">
        <v>8253.5096085409259</v>
      </c>
      <c r="D16" s="49">
        <v>8254.0826871340396</v>
      </c>
      <c r="E16" s="12">
        <v>0</v>
      </c>
      <c r="F16" s="12">
        <v>-2.6</v>
      </c>
      <c r="G16" s="12">
        <v>0.57307859311367793</v>
      </c>
      <c r="H16" s="12">
        <v>-217.02503213858108</v>
      </c>
      <c r="I16" s="51"/>
      <c r="J16" s="2"/>
    </row>
    <row r="17" spans="1:10" ht="17.25" customHeight="1" x14ac:dyDescent="0.2">
      <c r="A17" s="10" t="s">
        <v>27</v>
      </c>
      <c r="B17" s="49">
        <v>1136.2538804307464</v>
      </c>
      <c r="C17" s="49">
        <v>1169.6845947227048</v>
      </c>
      <c r="D17" s="49">
        <v>1161.2088883640372</v>
      </c>
      <c r="E17" s="12">
        <v>-0.7</v>
      </c>
      <c r="F17" s="12">
        <v>2.2000000000000002</v>
      </c>
      <c r="G17" s="12">
        <v>-8.475706358667594</v>
      </c>
      <c r="H17" s="12">
        <v>24.955007933290744</v>
      </c>
      <c r="I17" s="26"/>
      <c r="J17" s="1"/>
    </row>
    <row r="18" spans="1:10" s="1" customFormat="1" ht="17.25" customHeight="1" x14ac:dyDescent="0.2">
      <c r="A18" s="14" t="s">
        <v>28</v>
      </c>
      <c r="B18" s="52">
        <v>1702.4024163568774</v>
      </c>
      <c r="C18" s="52">
        <v>1790.1767682091283</v>
      </c>
      <c r="D18" s="52">
        <v>1783.2666454622561</v>
      </c>
      <c r="E18" s="12">
        <v>-0.4</v>
      </c>
      <c r="F18" s="12">
        <v>4.8</v>
      </c>
      <c r="G18" s="12">
        <v>-6.9101227468722755</v>
      </c>
      <c r="H18" s="12">
        <v>80.864229105378627</v>
      </c>
      <c r="I18" s="51"/>
    </row>
    <row r="19" spans="1:10" s="1" customFormat="1" ht="17.25" customHeight="1" x14ac:dyDescent="0.2">
      <c r="A19" s="14" t="s">
        <v>29</v>
      </c>
      <c r="B19" s="52">
        <v>1726.9736001703213</v>
      </c>
      <c r="C19" s="52">
        <v>1541.68546031746</v>
      </c>
      <c r="D19" s="52">
        <v>1547.6917460317457</v>
      </c>
      <c r="E19" s="12">
        <v>0.4</v>
      </c>
      <c r="F19" s="12">
        <v>-10.4</v>
      </c>
      <c r="G19" s="12">
        <v>6.0062857142856956</v>
      </c>
      <c r="H19" s="12">
        <v>-179.28185413857568</v>
      </c>
      <c r="I19" s="51"/>
    </row>
    <row r="20" spans="1:10" s="1" customFormat="1" ht="17.25" customHeight="1" x14ac:dyDescent="0.2">
      <c r="A20" s="14" t="s">
        <v>30</v>
      </c>
      <c r="B20" s="52">
        <v>478.25778946529596</v>
      </c>
      <c r="C20" s="52">
        <v>612.98359492073519</v>
      </c>
      <c r="D20" s="52">
        <v>608.66874122601769</v>
      </c>
      <c r="E20" s="12">
        <v>-0.7</v>
      </c>
      <c r="F20" s="12">
        <v>27.3</v>
      </c>
      <c r="G20" s="12">
        <v>-4.3148536947174989</v>
      </c>
      <c r="H20" s="12">
        <v>130.41095176072173</v>
      </c>
      <c r="I20" s="51"/>
      <c r="J20" s="2"/>
    </row>
    <row r="21" spans="1:10" ht="17.25" customHeight="1" x14ac:dyDescent="0.2">
      <c r="A21" s="13" t="s">
        <v>31</v>
      </c>
      <c r="B21" s="49">
        <v>1169.5910842047331</v>
      </c>
      <c r="C21" s="49">
        <v>1228.153341740227</v>
      </c>
      <c r="D21" s="49">
        <v>1228.153341740227</v>
      </c>
      <c r="E21" s="12">
        <v>0</v>
      </c>
      <c r="F21" s="12">
        <v>5</v>
      </c>
      <c r="G21" s="12">
        <v>0</v>
      </c>
      <c r="H21" s="12">
        <v>58.562257535493927</v>
      </c>
      <c r="I21" s="26"/>
      <c r="J21" s="1"/>
    </row>
    <row r="22" spans="1:10" s="1" customFormat="1" ht="17.25" customHeight="1" x14ac:dyDescent="0.2">
      <c r="A22" s="15" t="s">
        <v>32</v>
      </c>
      <c r="B22" s="49">
        <v>1706.774258566081</v>
      </c>
      <c r="C22" s="49">
        <v>1806.0261104441772</v>
      </c>
      <c r="D22" s="49">
        <v>1806.0261104441772</v>
      </c>
      <c r="E22" s="12">
        <v>0</v>
      </c>
      <c r="F22" s="12">
        <v>5.8</v>
      </c>
      <c r="G22" s="12">
        <v>0</v>
      </c>
      <c r="H22" s="12">
        <v>99.251851878096204</v>
      </c>
      <c r="I22" s="51"/>
    </row>
    <row r="23" spans="1:10" s="1" customFormat="1" ht="17.25" customHeight="1" x14ac:dyDescent="0.2">
      <c r="A23" s="15" t="s">
        <v>33</v>
      </c>
      <c r="B23" s="49">
        <v>1953.2763313609469</v>
      </c>
      <c r="C23" s="49">
        <v>1761.0989672977626</v>
      </c>
      <c r="D23" s="49">
        <v>1761.0989672977626</v>
      </c>
      <c r="E23" s="12">
        <v>0</v>
      </c>
      <c r="F23" s="12">
        <v>-9.8000000000000007</v>
      </c>
      <c r="G23" s="12">
        <v>0</v>
      </c>
      <c r="H23" s="12">
        <v>-192.17736406318431</v>
      </c>
      <c r="I23" s="51"/>
    </row>
    <row r="24" spans="1:10" s="1" customFormat="1" ht="17.25" customHeight="1" x14ac:dyDescent="0.2">
      <c r="A24" s="15" t="s">
        <v>34</v>
      </c>
      <c r="B24" s="49">
        <v>356.21392146863838</v>
      </c>
      <c r="C24" s="49">
        <v>487.5378346915017</v>
      </c>
      <c r="D24" s="49">
        <v>487.5378346915017</v>
      </c>
      <c r="E24" s="12">
        <v>0</v>
      </c>
      <c r="F24" s="12">
        <v>36.9</v>
      </c>
      <c r="G24" s="12">
        <v>0</v>
      </c>
      <c r="H24" s="12">
        <v>131.32391322286333</v>
      </c>
      <c r="I24" s="51"/>
      <c r="J24" s="2"/>
    </row>
    <row r="25" spans="1:10" ht="17.25" customHeight="1" x14ac:dyDescent="0.2">
      <c r="A25" s="13" t="s">
        <v>35</v>
      </c>
      <c r="B25" s="49">
        <v>952.58081565602458</v>
      </c>
      <c r="C25" s="49">
        <v>962.76148006191488</v>
      </c>
      <c r="D25" s="49">
        <v>954.53421762262224</v>
      </c>
      <c r="E25" s="12">
        <v>-0.9</v>
      </c>
      <c r="F25" s="12">
        <v>0.2</v>
      </c>
      <c r="G25" s="12">
        <v>-8.2272624392926446</v>
      </c>
      <c r="H25" s="12">
        <v>1.953401966597653</v>
      </c>
      <c r="I25" s="26"/>
      <c r="J25" s="1"/>
    </row>
    <row r="26" spans="1:10" s="1" customFormat="1" ht="17.25" customHeight="1" x14ac:dyDescent="0.2">
      <c r="A26" s="15" t="s">
        <v>32</v>
      </c>
      <c r="B26" s="49">
        <v>1499.1992532247114</v>
      </c>
      <c r="C26" s="49">
        <v>1592.9926752703175</v>
      </c>
      <c r="D26" s="49">
        <v>1590.1814066852367</v>
      </c>
      <c r="E26" s="12">
        <v>-0.2</v>
      </c>
      <c r="F26" s="12">
        <v>6.1</v>
      </c>
      <c r="G26" s="12">
        <v>-2.8112685850808248</v>
      </c>
      <c r="H26" s="12">
        <v>90.982153460525296</v>
      </c>
      <c r="I26" s="51"/>
    </row>
    <row r="27" spans="1:10" s="1" customFormat="1" ht="17.25" customHeight="1" x14ac:dyDescent="0.2">
      <c r="A27" s="15" t="s">
        <v>33</v>
      </c>
      <c r="B27" s="49">
        <v>1616.1039776692253</v>
      </c>
      <c r="C27" s="49">
        <v>1434.8628726287261</v>
      </c>
      <c r="D27" s="49">
        <v>1434.8628726287261</v>
      </c>
      <c r="E27" s="12">
        <v>0</v>
      </c>
      <c r="F27" s="12">
        <v>-11.2</v>
      </c>
      <c r="G27" s="12">
        <v>0</v>
      </c>
      <c r="H27" s="12">
        <v>-181.24110504049918</v>
      </c>
      <c r="I27" s="51"/>
    </row>
    <row r="28" spans="1:10" s="1" customFormat="1" ht="17.25" customHeight="1" x14ac:dyDescent="0.2">
      <c r="A28" s="15" t="s">
        <v>34</v>
      </c>
      <c r="B28" s="49">
        <v>523.71339601904992</v>
      </c>
      <c r="C28" s="49">
        <v>660.34477696216834</v>
      </c>
      <c r="D28" s="49">
        <v>653.35861839182587</v>
      </c>
      <c r="E28" s="12">
        <v>-1.1000000000000001</v>
      </c>
      <c r="F28" s="12">
        <v>24.8</v>
      </c>
      <c r="G28" s="12">
        <v>-6.986158570342468</v>
      </c>
      <c r="H28" s="12">
        <v>129.64522237277595</v>
      </c>
      <c r="I28" s="51"/>
      <c r="J28" s="2"/>
    </row>
    <row r="29" spans="1:10" ht="17.25" customHeight="1" x14ac:dyDescent="0.2">
      <c r="A29" s="13" t="s">
        <v>36</v>
      </c>
      <c r="B29" s="49">
        <v>1726.4562955254944</v>
      </c>
      <c r="C29" s="49">
        <v>1783.3710919088769</v>
      </c>
      <c r="D29" s="49">
        <v>1775.3612043698377</v>
      </c>
      <c r="E29" s="12">
        <v>-0.4</v>
      </c>
      <c r="F29" s="12">
        <v>2.8</v>
      </c>
      <c r="G29" s="12">
        <v>-8.009887539039255</v>
      </c>
      <c r="H29" s="12">
        <v>48.904908844343254</v>
      </c>
      <c r="I29" s="26"/>
      <c r="J29" s="1"/>
    </row>
    <row r="30" spans="1:10" s="1" customFormat="1" ht="17.25" customHeight="1" x14ac:dyDescent="0.2">
      <c r="A30" s="15" t="s">
        <v>32</v>
      </c>
      <c r="B30" s="49">
        <v>1881.1016845329248</v>
      </c>
      <c r="C30" s="49">
        <v>1946.051703163017</v>
      </c>
      <c r="D30" s="49">
        <v>1931.5647459727388</v>
      </c>
      <c r="E30" s="12">
        <v>-0.7</v>
      </c>
      <c r="F30" s="12">
        <v>2.7</v>
      </c>
      <c r="G30" s="12">
        <v>-14.48695719027819</v>
      </c>
      <c r="H30" s="12">
        <v>50.463061439814055</v>
      </c>
      <c r="I30" s="51"/>
    </row>
    <row r="31" spans="1:10" s="1" customFormat="1" ht="17.25" customHeight="1" x14ac:dyDescent="0.2">
      <c r="A31" s="15" t="s">
        <v>33</v>
      </c>
      <c r="B31" s="49">
        <v>1268.1134751773052</v>
      </c>
      <c r="C31" s="49">
        <v>1136.9944055944056</v>
      </c>
      <c r="D31" s="49">
        <v>1269.3006993006993</v>
      </c>
      <c r="E31" s="12">
        <v>11.6</v>
      </c>
      <c r="F31" s="12">
        <v>0.1</v>
      </c>
      <c r="G31" s="12">
        <v>132.30629370629367</v>
      </c>
      <c r="H31" s="12">
        <v>1.1872241233941168</v>
      </c>
      <c r="I31" s="51"/>
    </row>
    <row r="32" spans="1:10" s="1" customFormat="1" ht="17.25" customHeight="1" x14ac:dyDescent="0.2">
      <c r="A32" s="15" t="s">
        <v>34</v>
      </c>
      <c r="B32" s="49">
        <v>721.22602739726028</v>
      </c>
      <c r="C32" s="49">
        <v>643.00515463917532</v>
      </c>
      <c r="D32" s="49">
        <v>644.84188481675403</v>
      </c>
      <c r="E32" s="12">
        <v>0.3</v>
      </c>
      <c r="F32" s="12">
        <v>-10.6</v>
      </c>
      <c r="G32" s="12">
        <v>1.8367301775787155</v>
      </c>
      <c r="H32" s="12">
        <v>-76.38414258050625</v>
      </c>
      <c r="I32" s="51"/>
    </row>
    <row r="33" spans="1:10" s="1" customFormat="1" ht="17.25" customHeight="1" x14ac:dyDescent="0.2">
      <c r="A33" s="10" t="s">
        <v>37</v>
      </c>
      <c r="B33" s="49">
        <v>677.38611665557778</v>
      </c>
      <c r="C33" s="49">
        <v>602.17333333333329</v>
      </c>
      <c r="D33" s="49">
        <v>597.77446509996491</v>
      </c>
      <c r="E33" s="12">
        <v>-0.7</v>
      </c>
      <c r="F33" s="12">
        <v>-11.8</v>
      </c>
      <c r="G33" s="12">
        <v>-4.3988682333683755</v>
      </c>
      <c r="H33" s="12">
        <v>-79.611651555612866</v>
      </c>
      <c r="I33" s="51"/>
      <c r="J33" s="2"/>
    </row>
    <row r="34" spans="1:10" ht="17.25" customHeight="1" x14ac:dyDescent="0.2">
      <c r="A34" s="10" t="s">
        <v>38</v>
      </c>
      <c r="B34" s="49">
        <v>1622.1825525040385</v>
      </c>
      <c r="C34" s="49">
        <v>1297.5451030927836</v>
      </c>
      <c r="D34" s="49">
        <v>1257.2538659793815</v>
      </c>
      <c r="E34" s="12">
        <v>-3.1</v>
      </c>
      <c r="F34" s="12">
        <v>-22.5</v>
      </c>
      <c r="G34" s="12">
        <v>-40.291237113402076</v>
      </c>
      <c r="H34" s="12">
        <v>-364.928686524657</v>
      </c>
      <c r="I34" s="26"/>
    </row>
    <row r="35" spans="1:10" ht="17.25" customHeight="1" x14ac:dyDescent="0.2">
      <c r="A35" s="10" t="s">
        <v>39</v>
      </c>
      <c r="B35" s="49">
        <v>1437.1724137931035</v>
      </c>
      <c r="C35" s="49">
        <v>1712.2998585572846</v>
      </c>
      <c r="D35" s="49">
        <v>1712.2998585572846</v>
      </c>
      <c r="E35" s="12">
        <v>0</v>
      </c>
      <c r="F35" s="12">
        <v>19.100000000000001</v>
      </c>
      <c r="G35" s="12">
        <v>0</v>
      </c>
      <c r="H35" s="12">
        <v>275.12744476418106</v>
      </c>
      <c r="I35" s="26"/>
    </row>
    <row r="36" spans="1:10" ht="17.25" customHeight="1" x14ac:dyDescent="0.2">
      <c r="A36" s="10" t="s">
        <v>40</v>
      </c>
      <c r="B36" s="49">
        <v>6463.8519095155243</v>
      </c>
      <c r="C36" s="49">
        <v>6326.0013673776439</v>
      </c>
      <c r="D36" s="49">
        <v>6371.9618105794125</v>
      </c>
      <c r="E36" s="12">
        <v>0.7</v>
      </c>
      <c r="F36" s="12">
        <v>-1.4</v>
      </c>
      <c r="G36" s="12">
        <v>45.960443201768612</v>
      </c>
      <c r="H36" s="12">
        <v>-91.890098936111826</v>
      </c>
      <c r="I36" s="26"/>
    </row>
    <row r="37" spans="1:10" ht="17.25" customHeight="1" x14ac:dyDescent="0.2">
      <c r="A37" s="13" t="s">
        <v>41</v>
      </c>
      <c r="B37" s="49">
        <v>6609.6549594444132</v>
      </c>
      <c r="C37" s="49">
        <v>7191.0227782655338</v>
      </c>
      <c r="D37" s="49">
        <v>7190.9112102811723</v>
      </c>
      <c r="E37" s="12">
        <v>0</v>
      </c>
      <c r="F37" s="12">
        <v>8.8000000000000007</v>
      </c>
      <c r="G37" s="12">
        <v>-0.11156798436149984</v>
      </c>
      <c r="H37" s="12">
        <v>581.25625083675914</v>
      </c>
      <c r="I37" s="26"/>
    </row>
    <row r="38" spans="1:10" ht="17.25" customHeight="1" x14ac:dyDescent="0.2">
      <c r="A38" s="13" t="s">
        <v>42</v>
      </c>
      <c r="B38" s="49">
        <v>6496.0670900672967</v>
      </c>
      <c r="C38" s="49">
        <v>6230.7965117257872</v>
      </c>
      <c r="D38" s="49">
        <v>6290.6858944510204</v>
      </c>
      <c r="E38" s="12">
        <v>1</v>
      </c>
      <c r="F38" s="12">
        <v>-3.2</v>
      </c>
      <c r="G38" s="12">
        <v>59.88938272523319</v>
      </c>
      <c r="H38" s="12">
        <v>-205.38119561627627</v>
      </c>
      <c r="I38" s="26"/>
    </row>
    <row r="39" spans="1:10" ht="17.25" customHeight="1" x14ac:dyDescent="0.2">
      <c r="A39" s="13" t="s">
        <v>43</v>
      </c>
      <c r="B39" s="49">
        <v>4713.6128168792311</v>
      </c>
      <c r="C39" s="49">
        <v>3596.3777843339726</v>
      </c>
      <c r="D39" s="49">
        <v>3542.6082382575196</v>
      </c>
      <c r="E39" s="12">
        <v>-1.5</v>
      </c>
      <c r="F39" s="12">
        <v>-24.8</v>
      </c>
      <c r="G39" s="12">
        <v>-53.769546076453025</v>
      </c>
      <c r="H39" s="12">
        <v>-1171.0045786217115</v>
      </c>
      <c r="I39" s="26"/>
    </row>
    <row r="40" spans="1:10" ht="17.25" customHeight="1" x14ac:dyDescent="0.2">
      <c r="A40" s="10" t="s">
        <v>44</v>
      </c>
      <c r="B40" s="49">
        <v>3621.8458880456883</v>
      </c>
      <c r="C40" s="49">
        <v>3712.4547863312928</v>
      </c>
      <c r="D40" s="49">
        <v>3711.4147229091154</v>
      </c>
      <c r="E40" s="12">
        <v>0</v>
      </c>
      <c r="F40" s="12">
        <v>2.5</v>
      </c>
      <c r="G40" s="12">
        <v>-1.0400634221773544</v>
      </c>
      <c r="H40" s="12">
        <v>89.568834863427128</v>
      </c>
      <c r="I40" s="26"/>
    </row>
    <row r="41" spans="1:10" ht="17.25" customHeight="1" x14ac:dyDescent="0.2">
      <c r="A41" s="10" t="s">
        <v>45</v>
      </c>
      <c r="B41" s="49">
        <v>3739.1359068627457</v>
      </c>
      <c r="C41" s="49">
        <v>3396.2487665421686</v>
      </c>
      <c r="D41" s="49">
        <v>3387.7204702627937</v>
      </c>
      <c r="E41" s="12">
        <v>-0.3</v>
      </c>
      <c r="F41" s="12">
        <v>-9.4</v>
      </c>
      <c r="G41" s="12">
        <v>-8.5282962793748993</v>
      </c>
      <c r="H41" s="12">
        <v>-351.41543659995205</v>
      </c>
      <c r="I41" s="26"/>
    </row>
    <row r="42" spans="1:10" ht="17.25" customHeight="1" x14ac:dyDescent="0.2">
      <c r="A42" s="16" t="s">
        <v>46</v>
      </c>
      <c r="B42" s="53">
        <v>4351</v>
      </c>
      <c r="C42" s="53">
        <v>4381</v>
      </c>
      <c r="D42" s="53">
        <v>4394</v>
      </c>
      <c r="E42" s="19">
        <v>0.3</v>
      </c>
      <c r="F42" s="54">
        <v>1</v>
      </c>
      <c r="G42" s="19">
        <v>13</v>
      </c>
      <c r="H42" s="19">
        <v>43</v>
      </c>
      <c r="I42" s="26"/>
    </row>
    <row r="43" spans="1:10" ht="17.25" customHeight="1" x14ac:dyDescent="0.2">
      <c r="A43" s="415" t="s">
        <v>47</v>
      </c>
      <c r="B43" s="416" t="s">
        <v>10</v>
      </c>
      <c r="C43" s="416"/>
      <c r="D43" s="416"/>
      <c r="E43" s="415" t="s">
        <v>11</v>
      </c>
      <c r="F43" s="415"/>
      <c r="G43" s="415"/>
      <c r="H43" s="415"/>
      <c r="I43" s="26"/>
    </row>
    <row r="44" spans="1:10" ht="17.25" customHeight="1" x14ac:dyDescent="0.2">
      <c r="A44" s="411"/>
      <c r="B44" s="43" t="s">
        <v>3</v>
      </c>
      <c r="C44" s="413" t="s">
        <v>6</v>
      </c>
      <c r="D44" s="413"/>
      <c r="E44" s="411" t="s">
        <v>12</v>
      </c>
      <c r="F44" s="411"/>
      <c r="G44" s="411" t="s">
        <v>13</v>
      </c>
      <c r="H44" s="411"/>
      <c r="I44" s="26"/>
    </row>
    <row r="45" spans="1:10" ht="33.75" customHeight="1" x14ac:dyDescent="0.2">
      <c r="A45" s="411"/>
      <c r="B45" s="7" t="s">
        <v>14</v>
      </c>
      <c r="C45" s="7" t="s">
        <v>210</v>
      </c>
      <c r="D45" s="7" t="s">
        <v>211</v>
      </c>
      <c r="E45" s="5" t="s">
        <v>15</v>
      </c>
      <c r="F45" s="5" t="s">
        <v>16</v>
      </c>
      <c r="G45" s="5" t="s">
        <v>17</v>
      </c>
      <c r="H45" s="5" t="s">
        <v>18</v>
      </c>
      <c r="I45" s="26"/>
    </row>
    <row r="46" spans="1:10" ht="17.25" customHeight="1" x14ac:dyDescent="0.2">
      <c r="A46" s="55" t="s">
        <v>48</v>
      </c>
      <c r="B46" s="56">
        <v>2368</v>
      </c>
      <c r="C46" s="56">
        <v>2283</v>
      </c>
      <c r="D46" s="56">
        <v>2288</v>
      </c>
      <c r="E46" s="57">
        <v>0.2</v>
      </c>
      <c r="F46" s="57">
        <v>-3.4</v>
      </c>
      <c r="G46" s="57">
        <v>5</v>
      </c>
      <c r="H46" s="57">
        <v>-80</v>
      </c>
      <c r="I46" s="26"/>
    </row>
    <row r="47" spans="1:10" ht="17.25" customHeight="1" x14ac:dyDescent="0.2">
      <c r="A47" s="58" t="s">
        <v>49</v>
      </c>
      <c r="B47" s="59">
        <v>1627</v>
      </c>
      <c r="C47" s="59">
        <v>1620</v>
      </c>
      <c r="D47" s="59">
        <v>1620</v>
      </c>
      <c r="E47" s="60">
        <v>0</v>
      </c>
      <c r="F47" s="60">
        <v>-0.4</v>
      </c>
      <c r="G47" s="60">
        <v>0</v>
      </c>
      <c r="H47" s="60">
        <v>-7</v>
      </c>
      <c r="I47" s="26"/>
    </row>
    <row r="48" spans="1:10" ht="17.25" customHeight="1" x14ac:dyDescent="0.2">
      <c r="A48" s="58" t="s">
        <v>50</v>
      </c>
      <c r="B48" s="59">
        <v>2381</v>
      </c>
      <c r="C48" s="59">
        <v>2261</v>
      </c>
      <c r="D48" s="59">
        <v>2261</v>
      </c>
      <c r="E48" s="60">
        <v>0</v>
      </c>
      <c r="F48" s="60">
        <v>-5</v>
      </c>
      <c r="G48" s="60">
        <v>0</v>
      </c>
      <c r="H48" s="60">
        <v>-120</v>
      </c>
      <c r="I48" s="26"/>
    </row>
    <row r="49" spans="1:9" ht="17.25" customHeight="1" x14ac:dyDescent="0.2">
      <c r="A49" s="58" t="s">
        <v>51</v>
      </c>
      <c r="B49" s="59">
        <v>4358</v>
      </c>
      <c r="C49" s="59">
        <v>4022</v>
      </c>
      <c r="D49" s="59">
        <v>4022</v>
      </c>
      <c r="E49" s="60">
        <v>0</v>
      </c>
      <c r="F49" s="60">
        <v>-7.7</v>
      </c>
      <c r="G49" s="60">
        <v>0</v>
      </c>
      <c r="H49" s="60">
        <v>-336</v>
      </c>
      <c r="I49" s="26"/>
    </row>
    <row r="50" spans="1:9" ht="17.25" customHeight="1" x14ac:dyDescent="0.2">
      <c r="A50" s="58" t="s">
        <v>52</v>
      </c>
      <c r="B50" s="59">
        <v>3219</v>
      </c>
      <c r="C50" s="59">
        <v>2986</v>
      </c>
      <c r="D50" s="59">
        <v>2978</v>
      </c>
      <c r="E50" s="60">
        <v>-0.3</v>
      </c>
      <c r="F50" s="60">
        <v>-7.5</v>
      </c>
      <c r="G50" s="60">
        <v>-8</v>
      </c>
      <c r="H50" s="60">
        <v>-241</v>
      </c>
      <c r="I50" s="26"/>
    </row>
    <row r="51" spans="1:9" ht="17.25" customHeight="1" x14ac:dyDescent="0.2">
      <c r="A51" s="58" t="s">
        <v>53</v>
      </c>
      <c r="B51" s="59">
        <v>3211</v>
      </c>
      <c r="C51" s="59">
        <v>2950</v>
      </c>
      <c r="D51" s="59">
        <v>2950</v>
      </c>
      <c r="E51" s="60">
        <v>0</v>
      </c>
      <c r="F51" s="60">
        <v>-8.1</v>
      </c>
      <c r="G51" s="60">
        <v>0</v>
      </c>
      <c r="H51" s="60">
        <v>-261</v>
      </c>
      <c r="I51" s="26"/>
    </row>
    <row r="52" spans="1:9" ht="17.25" customHeight="1" x14ac:dyDescent="0.2">
      <c r="A52" s="61" t="s">
        <v>46</v>
      </c>
      <c r="B52" s="62">
        <v>3027</v>
      </c>
      <c r="C52" s="62">
        <v>2746</v>
      </c>
      <c r="D52" s="62">
        <v>2740</v>
      </c>
      <c r="E52" s="54">
        <v>-0.2</v>
      </c>
      <c r="F52" s="54">
        <v>-9.5</v>
      </c>
      <c r="G52" s="54">
        <v>-6</v>
      </c>
      <c r="H52" s="54">
        <v>-287</v>
      </c>
      <c r="I52" s="26"/>
    </row>
    <row r="53" spans="1:9" ht="17.25" customHeight="1" x14ac:dyDescent="0.2">
      <c r="A53" s="63" t="s">
        <v>54</v>
      </c>
      <c r="B53" s="64">
        <v>4297</v>
      </c>
      <c r="C53" s="64">
        <v>4322</v>
      </c>
      <c r="D53" s="64">
        <v>4335</v>
      </c>
      <c r="E53" s="65">
        <v>0.3</v>
      </c>
      <c r="F53" s="24">
        <v>0.9</v>
      </c>
      <c r="G53" s="65">
        <v>13</v>
      </c>
      <c r="H53" s="65">
        <v>38</v>
      </c>
      <c r="I53" s="26"/>
    </row>
    <row r="54" spans="1:9" ht="17.25" customHeight="1" x14ac:dyDescent="0.2">
      <c r="A54" s="25" t="s">
        <v>59</v>
      </c>
      <c r="B54" s="66"/>
      <c r="C54" s="66"/>
      <c r="D54" s="66"/>
      <c r="E54" s="67"/>
      <c r="F54" s="68"/>
      <c r="G54" s="67"/>
      <c r="H54" s="68"/>
      <c r="I54" s="26"/>
    </row>
    <row r="55" spans="1:9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  <c r="I55" s="26"/>
    </row>
    <row r="56" spans="1:9" ht="13.5" customHeight="1" x14ac:dyDescent="0.2">
      <c r="A56" s="25" t="s">
        <v>212</v>
      </c>
      <c r="B56" s="26"/>
      <c r="C56" s="26"/>
      <c r="D56" s="26"/>
      <c r="E56" s="26"/>
      <c r="F56" s="26"/>
      <c r="G56" s="26"/>
      <c r="H56" s="26"/>
      <c r="I56" s="26"/>
    </row>
    <row r="57" spans="1:9" ht="20.25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</row>
    <row r="58" spans="1:9" ht="20.25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</row>
    <row r="59" spans="1:9" ht="20.25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</row>
    <row r="60" spans="1:9" ht="20.25" customHeight="1" x14ac:dyDescent="0.2">
      <c r="A60" s="26"/>
      <c r="B60" s="26"/>
      <c r="C60" s="26"/>
      <c r="D60" s="26"/>
      <c r="E60" s="26"/>
      <c r="F60" s="26"/>
      <c r="G60" s="26"/>
      <c r="H60" s="26"/>
      <c r="I60" s="26"/>
    </row>
    <row r="61" spans="1:9" ht="20.25" customHeight="1" x14ac:dyDescent="0.2">
      <c r="A61" s="26"/>
      <c r="B61" s="26"/>
      <c r="C61" s="26"/>
      <c r="D61" s="26"/>
      <c r="E61" s="26"/>
      <c r="F61" s="26"/>
      <c r="G61" s="26"/>
      <c r="H61" s="26"/>
      <c r="I61" s="26"/>
    </row>
    <row r="62" spans="1:9" ht="20.25" customHeight="1" x14ac:dyDescent="0.2">
      <c r="A62" s="26"/>
      <c r="B62" s="26"/>
      <c r="C62" s="26"/>
      <c r="D62" s="26"/>
      <c r="E62" s="26"/>
      <c r="F62" s="26"/>
      <c r="G62" s="26"/>
      <c r="H62" s="26"/>
      <c r="I62" s="26"/>
    </row>
    <row r="63" spans="1:9" ht="20.25" customHeight="1" x14ac:dyDescent="0.2">
      <c r="A63" s="26"/>
      <c r="B63" s="26"/>
      <c r="C63" s="26"/>
      <c r="D63" s="26"/>
      <c r="E63" s="26"/>
      <c r="F63" s="26"/>
      <c r="G63" s="26"/>
      <c r="H63" s="26"/>
      <c r="I63" s="26"/>
    </row>
    <row r="64" spans="1:9" ht="20.25" customHeight="1" x14ac:dyDescent="0.2">
      <c r="A64" s="26"/>
      <c r="B64" s="26"/>
      <c r="C64" s="26"/>
      <c r="D64" s="26"/>
      <c r="E64" s="26"/>
      <c r="F64" s="26"/>
      <c r="G64" s="26"/>
      <c r="H64" s="26"/>
      <c r="I64" s="26"/>
    </row>
    <row r="65" spans="1:9" ht="20.25" customHeight="1" x14ac:dyDescent="0.2">
      <c r="A65" s="26"/>
      <c r="B65" s="26"/>
      <c r="C65" s="26"/>
      <c r="D65" s="26"/>
      <c r="E65" s="26"/>
      <c r="F65" s="26"/>
      <c r="G65" s="26"/>
      <c r="H65" s="26"/>
      <c r="I65" s="26"/>
    </row>
    <row r="66" spans="1:9" ht="20.25" customHeight="1" x14ac:dyDescent="0.2">
      <c r="A66" s="26"/>
      <c r="B66" s="26"/>
      <c r="C66" s="26"/>
      <c r="D66" s="26"/>
      <c r="E66" s="26"/>
      <c r="F66" s="26"/>
      <c r="G66" s="26"/>
      <c r="H66" s="26"/>
      <c r="I66" s="26"/>
    </row>
    <row r="72" spans="1:9" ht="20.25" customHeight="1" x14ac:dyDescent="0.2">
      <c r="I72" s="2" t="s">
        <v>60</v>
      </c>
    </row>
  </sheetData>
  <mergeCells count="13">
    <mergeCell ref="A43:A45"/>
    <mergeCell ref="B43:D43"/>
    <mergeCell ref="E43:H43"/>
    <mergeCell ref="C44:D44"/>
    <mergeCell ref="E44:F44"/>
    <mergeCell ref="G44:H44"/>
    <mergeCell ref="A1:H1"/>
    <mergeCell ref="A6:A8"/>
    <mergeCell ref="B6:D6"/>
    <mergeCell ref="E6:H6"/>
    <mergeCell ref="C7:D7"/>
    <mergeCell ref="E7:F7"/>
    <mergeCell ref="G7:H7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 sqref="A1:H1"/>
    </sheetView>
  </sheetViews>
  <sheetFormatPr defaultColWidth="11.42578125" defaultRowHeight="20.25" customHeight="1" x14ac:dyDescent="0.2"/>
  <cols>
    <col min="1" max="1" width="25.42578125" style="2" customWidth="1"/>
    <col min="2" max="2" width="14" style="2" customWidth="1"/>
    <col min="3" max="3" width="12.42578125" style="2" customWidth="1"/>
    <col min="4" max="4" width="14" style="2" customWidth="1"/>
    <col min="5" max="6" width="10.42578125" style="2" customWidth="1"/>
    <col min="7" max="7" width="11.42578125" style="2" bestFit="1" customWidth="1"/>
    <col min="8" max="8" width="10.42578125" style="2" customWidth="1"/>
    <col min="9" max="9" width="17.42578125" style="2" customWidth="1"/>
    <col min="10" max="10" width="13.42578125" style="2" customWidth="1"/>
    <col min="11" max="256" width="11.42578125" style="2" customWidth="1"/>
  </cols>
  <sheetData>
    <row r="1" spans="1:10" ht="12.75" customHeight="1" x14ac:dyDescent="0.2">
      <c r="A1" s="410" t="s">
        <v>60</v>
      </c>
      <c r="B1" s="410"/>
      <c r="C1" s="410"/>
      <c r="D1" s="410"/>
      <c r="E1" s="410"/>
      <c r="F1" s="410"/>
      <c r="G1" s="410"/>
      <c r="H1" s="410"/>
    </row>
    <row r="2" spans="1:10" ht="17.25" customHeight="1" x14ac:dyDescent="0.2"/>
    <row r="3" spans="1:10" ht="17.25" customHeight="1" x14ac:dyDescent="0.2"/>
    <row r="4" spans="1:10" ht="17.25" customHeight="1" x14ac:dyDescent="0.2"/>
    <row r="5" spans="1:10" ht="17.25" customHeight="1" x14ac:dyDescent="0.2"/>
    <row r="6" spans="1:10" ht="17.25" customHeight="1" x14ac:dyDescent="0.2">
      <c r="A6" s="411" t="s">
        <v>9</v>
      </c>
      <c r="B6" s="411" t="s">
        <v>10</v>
      </c>
      <c r="C6" s="411"/>
      <c r="D6" s="411"/>
      <c r="E6" s="411" t="s">
        <v>11</v>
      </c>
      <c r="F6" s="411"/>
      <c r="G6" s="411"/>
      <c r="H6" s="411"/>
    </row>
    <row r="7" spans="1:10" ht="17.25" customHeight="1" x14ac:dyDescent="0.2">
      <c r="A7" s="411"/>
      <c r="B7" s="5" t="s">
        <v>1</v>
      </c>
      <c r="C7" s="425" t="s">
        <v>4</v>
      </c>
      <c r="D7" s="425"/>
      <c r="E7" s="414" t="s">
        <v>12</v>
      </c>
      <c r="F7" s="414"/>
      <c r="G7" s="426" t="s">
        <v>13</v>
      </c>
      <c r="H7" s="426"/>
    </row>
    <row r="8" spans="1:10" ht="33.75" customHeight="1" x14ac:dyDescent="0.2">
      <c r="A8" s="411"/>
      <c r="B8" s="7" t="s">
        <v>14</v>
      </c>
      <c r="C8" s="7" t="s">
        <v>210</v>
      </c>
      <c r="D8" s="7" t="s">
        <v>211</v>
      </c>
      <c r="E8" s="8" t="s">
        <v>15</v>
      </c>
      <c r="F8" s="8" t="s">
        <v>16</v>
      </c>
      <c r="G8" s="9" t="s">
        <v>17</v>
      </c>
      <c r="H8" s="9" t="s">
        <v>18</v>
      </c>
    </row>
    <row r="9" spans="1:10" ht="17.25" customHeight="1" x14ac:dyDescent="0.2">
      <c r="A9" s="10" t="s">
        <v>19</v>
      </c>
      <c r="B9" s="11">
        <v>5789.9</v>
      </c>
      <c r="C9" s="11">
        <v>5792.7000000000007</v>
      </c>
      <c r="D9" s="11">
        <v>5874.2000000000007</v>
      </c>
      <c r="E9" s="12">
        <v>1.4</v>
      </c>
      <c r="F9" s="12">
        <v>1.5</v>
      </c>
      <c r="G9" s="12">
        <v>81.5</v>
      </c>
      <c r="H9" s="12">
        <v>84.300000000001091</v>
      </c>
    </row>
    <row r="10" spans="1:10" ht="17.25" customHeight="1" x14ac:dyDescent="0.2">
      <c r="A10" s="10" t="s">
        <v>20</v>
      </c>
      <c r="B10" s="11">
        <v>4081.5</v>
      </c>
      <c r="C10" s="11">
        <v>4084.6</v>
      </c>
      <c r="D10" s="11">
        <v>4143.8</v>
      </c>
      <c r="E10" s="12">
        <v>1.4</v>
      </c>
      <c r="F10" s="12">
        <v>1.5</v>
      </c>
      <c r="G10" s="12">
        <v>59.200000000000273</v>
      </c>
      <c r="H10" s="12">
        <v>62.300000000000182</v>
      </c>
    </row>
    <row r="11" spans="1:10" ht="17.25" customHeight="1" x14ac:dyDescent="0.2">
      <c r="A11" s="10" t="s">
        <v>21</v>
      </c>
      <c r="B11" s="11">
        <v>1159.6999999999998</v>
      </c>
      <c r="C11" s="11">
        <v>1281.8</v>
      </c>
      <c r="D11" s="11">
        <v>1281.6999999999998</v>
      </c>
      <c r="E11" s="12">
        <v>0</v>
      </c>
      <c r="F11" s="12">
        <v>10.5</v>
      </c>
      <c r="G11" s="12">
        <v>-0.10000000000013642</v>
      </c>
      <c r="H11" s="12">
        <v>122</v>
      </c>
    </row>
    <row r="12" spans="1:10" s="1" customFormat="1" ht="17.25" customHeight="1" x14ac:dyDescent="0.2">
      <c r="A12" s="13" t="s">
        <v>22</v>
      </c>
      <c r="B12" s="11">
        <v>1147.5999999999999</v>
      </c>
      <c r="C12" s="11">
        <v>1269.6999999999998</v>
      </c>
      <c r="D12" s="11">
        <v>1269.6999999999998</v>
      </c>
      <c r="E12" s="12">
        <v>0</v>
      </c>
      <c r="F12" s="12">
        <v>10.6</v>
      </c>
      <c r="G12" s="12">
        <v>0</v>
      </c>
      <c r="H12" s="12">
        <v>122.09999999999991</v>
      </c>
      <c r="J12" s="2"/>
    </row>
    <row r="13" spans="1:10" s="1" customFormat="1" ht="17.25" customHeight="1" x14ac:dyDescent="0.2">
      <c r="A13" s="13" t="s">
        <v>23</v>
      </c>
      <c r="B13" s="11">
        <v>12.100000000000001</v>
      </c>
      <c r="C13" s="11">
        <v>12.100000000000001</v>
      </c>
      <c r="D13" s="11">
        <v>12</v>
      </c>
      <c r="E13" s="12">
        <v>-0.8</v>
      </c>
      <c r="F13" s="12">
        <v>-0.8</v>
      </c>
      <c r="G13" s="12">
        <v>-0.10000000000000142</v>
      </c>
      <c r="H13" s="12">
        <v>-0.10000000000000142</v>
      </c>
      <c r="J13" s="2"/>
    </row>
    <row r="14" spans="1:10" ht="17.25" customHeight="1" x14ac:dyDescent="0.2">
      <c r="A14" s="10" t="s">
        <v>24</v>
      </c>
      <c r="B14" s="11">
        <v>12757.7</v>
      </c>
      <c r="C14" s="11">
        <v>11082.2</v>
      </c>
      <c r="D14" s="11">
        <v>11076.2</v>
      </c>
      <c r="E14" s="12">
        <v>-0.1</v>
      </c>
      <c r="F14" s="12">
        <v>-13.2</v>
      </c>
      <c r="G14" s="12">
        <v>-6</v>
      </c>
      <c r="H14" s="12">
        <v>-1681.5</v>
      </c>
    </row>
    <row r="15" spans="1:10" s="1" customFormat="1" ht="17.25" customHeight="1" x14ac:dyDescent="0.2">
      <c r="A15" s="13" t="s">
        <v>25</v>
      </c>
      <c r="B15" s="11">
        <v>1158.2</v>
      </c>
      <c r="C15" s="11">
        <v>645.4</v>
      </c>
      <c r="D15" s="11">
        <v>644.5</v>
      </c>
      <c r="E15" s="12">
        <v>-0.1</v>
      </c>
      <c r="F15" s="12">
        <v>-44.4</v>
      </c>
      <c r="G15" s="12">
        <v>-0.89999999999997726</v>
      </c>
      <c r="H15" s="12">
        <v>-513.70000000000005</v>
      </c>
      <c r="J15" s="2"/>
    </row>
    <row r="16" spans="1:10" s="1" customFormat="1" ht="17.25" customHeight="1" x14ac:dyDescent="0.2">
      <c r="A16" s="13" t="s">
        <v>26</v>
      </c>
      <c r="B16" s="11">
        <v>11599.500000000002</v>
      </c>
      <c r="C16" s="11">
        <v>10436.800000000001</v>
      </c>
      <c r="D16" s="11">
        <v>10431.700000000001</v>
      </c>
      <c r="E16" s="12">
        <v>0</v>
      </c>
      <c r="F16" s="12">
        <v>-10.1</v>
      </c>
      <c r="G16" s="12">
        <v>-5.1000000000003638</v>
      </c>
      <c r="H16" s="12">
        <v>-1167.8000000000011</v>
      </c>
      <c r="J16" s="2"/>
    </row>
    <row r="17" spans="1:10" ht="17.25" customHeight="1" x14ac:dyDescent="0.2">
      <c r="A17" s="10" t="s">
        <v>27</v>
      </c>
      <c r="B17" s="11">
        <v>3059.9</v>
      </c>
      <c r="C17" s="11">
        <v>2961.2000000000003</v>
      </c>
      <c r="D17" s="11">
        <v>2950</v>
      </c>
      <c r="E17" s="12">
        <v>-0.4</v>
      </c>
      <c r="F17" s="12">
        <v>-3.6</v>
      </c>
      <c r="G17" s="12">
        <v>-11.200000000000273</v>
      </c>
      <c r="H17" s="12">
        <v>-109.90000000000009</v>
      </c>
    </row>
    <row r="18" spans="1:10" s="1" customFormat="1" ht="17.25" customHeight="1" x14ac:dyDescent="0.2">
      <c r="A18" s="14" t="s">
        <v>28</v>
      </c>
      <c r="B18" s="11">
        <v>1648.6</v>
      </c>
      <c r="C18" s="11">
        <v>1698.3</v>
      </c>
      <c r="D18" s="11">
        <v>1682</v>
      </c>
      <c r="E18" s="12">
        <v>-1</v>
      </c>
      <c r="F18" s="12">
        <v>2</v>
      </c>
      <c r="G18" s="12">
        <v>-16.299999999999955</v>
      </c>
      <c r="H18" s="12">
        <v>33.400000000000091</v>
      </c>
      <c r="J18" s="2"/>
    </row>
    <row r="19" spans="1:10" s="1" customFormat="1" ht="17.25" customHeight="1" x14ac:dyDescent="0.2">
      <c r="A19" s="14" t="s">
        <v>29</v>
      </c>
      <c r="B19" s="11">
        <v>811.3</v>
      </c>
      <c r="C19" s="11">
        <v>485.6</v>
      </c>
      <c r="D19" s="11">
        <v>487.5</v>
      </c>
      <c r="E19" s="12">
        <v>0.4</v>
      </c>
      <c r="F19" s="12">
        <v>-39.9</v>
      </c>
      <c r="G19" s="12">
        <v>1.8999999999999773</v>
      </c>
      <c r="H19" s="12">
        <v>-323.79999999999995</v>
      </c>
      <c r="J19" s="2"/>
    </row>
    <row r="20" spans="1:10" s="1" customFormat="1" ht="17.25" customHeight="1" x14ac:dyDescent="0.2">
      <c r="A20" s="14" t="s">
        <v>30</v>
      </c>
      <c r="B20" s="11">
        <v>600.19999999999993</v>
      </c>
      <c r="C20" s="11">
        <v>777.3</v>
      </c>
      <c r="D20" s="11">
        <v>780.59999999999991</v>
      </c>
      <c r="E20" s="12">
        <v>0.4</v>
      </c>
      <c r="F20" s="12">
        <v>30.1</v>
      </c>
      <c r="G20" s="12">
        <v>3.2999999999999545</v>
      </c>
      <c r="H20" s="12">
        <v>180.39999999999998</v>
      </c>
      <c r="J20" s="2"/>
    </row>
    <row r="21" spans="1:10" ht="17.25" customHeight="1" x14ac:dyDescent="0.2">
      <c r="A21" s="13" t="s">
        <v>31</v>
      </c>
      <c r="B21" s="11">
        <v>1062.7</v>
      </c>
      <c r="C21" s="11">
        <v>973.90000000000009</v>
      </c>
      <c r="D21" s="11">
        <v>973.90000000000009</v>
      </c>
      <c r="E21" s="12">
        <v>0</v>
      </c>
      <c r="F21" s="12">
        <v>-8.4</v>
      </c>
      <c r="G21" s="12">
        <v>0</v>
      </c>
      <c r="H21" s="12">
        <v>-88.799999999999955</v>
      </c>
    </row>
    <row r="22" spans="1:10" s="1" customFormat="1" ht="17.25" customHeight="1" x14ac:dyDescent="0.2">
      <c r="A22" s="15" t="s">
        <v>32</v>
      </c>
      <c r="B22" s="11">
        <v>592.80000000000007</v>
      </c>
      <c r="C22" s="11">
        <v>601.70000000000005</v>
      </c>
      <c r="D22" s="11">
        <v>601.70000000000005</v>
      </c>
      <c r="E22" s="12">
        <v>0</v>
      </c>
      <c r="F22" s="12">
        <v>1.5</v>
      </c>
      <c r="G22" s="12">
        <v>0</v>
      </c>
      <c r="H22" s="12">
        <v>8.8999999999999773</v>
      </c>
      <c r="J22" s="2"/>
    </row>
    <row r="23" spans="1:10" s="1" customFormat="1" ht="17.25" customHeight="1" x14ac:dyDescent="0.2">
      <c r="A23" s="15" t="s">
        <v>33</v>
      </c>
      <c r="B23" s="11">
        <v>330.2</v>
      </c>
      <c r="C23" s="11">
        <v>204.6</v>
      </c>
      <c r="D23" s="11">
        <v>204.6</v>
      </c>
      <c r="E23" s="12">
        <v>0</v>
      </c>
      <c r="F23" s="12">
        <v>-38</v>
      </c>
      <c r="G23" s="12">
        <v>0</v>
      </c>
      <c r="H23" s="12">
        <v>-125.6</v>
      </c>
      <c r="J23" s="2"/>
    </row>
    <row r="24" spans="1:10" s="1" customFormat="1" ht="17.25" customHeight="1" x14ac:dyDescent="0.2">
      <c r="A24" s="15" t="s">
        <v>34</v>
      </c>
      <c r="B24" s="11">
        <v>139.69999999999999</v>
      </c>
      <c r="C24" s="11">
        <v>167.5</v>
      </c>
      <c r="D24" s="11">
        <v>167.5</v>
      </c>
      <c r="E24" s="12">
        <v>0</v>
      </c>
      <c r="F24" s="12">
        <v>19.899999999999999</v>
      </c>
      <c r="G24" s="12">
        <v>0</v>
      </c>
      <c r="H24" s="12">
        <v>27.800000000000011</v>
      </c>
      <c r="J24" s="2"/>
    </row>
    <row r="25" spans="1:10" ht="17.25" customHeight="1" x14ac:dyDescent="0.2">
      <c r="A25" s="13" t="s">
        <v>35</v>
      </c>
      <c r="B25" s="11">
        <v>1333.6000000000001</v>
      </c>
      <c r="C25" s="11">
        <v>1306.3000000000002</v>
      </c>
      <c r="D25" s="11">
        <v>1309.9000000000001</v>
      </c>
      <c r="E25" s="12">
        <v>0.3</v>
      </c>
      <c r="F25" s="12">
        <v>-1.8</v>
      </c>
      <c r="G25" s="12">
        <v>3.5999999999999091</v>
      </c>
      <c r="H25" s="12">
        <v>-23.700000000000045</v>
      </c>
    </row>
    <row r="26" spans="1:10" s="1" customFormat="1" ht="17.25" customHeight="1" x14ac:dyDescent="0.2">
      <c r="A26" s="15" t="s">
        <v>32</v>
      </c>
      <c r="B26" s="11">
        <v>441.6</v>
      </c>
      <c r="C26" s="11">
        <v>456.90000000000003</v>
      </c>
      <c r="D26" s="11">
        <v>456.9</v>
      </c>
      <c r="E26" s="12">
        <v>0</v>
      </c>
      <c r="F26" s="12">
        <v>3.5</v>
      </c>
      <c r="G26" s="12">
        <v>0</v>
      </c>
      <c r="H26" s="12">
        <v>15.299999999999955</v>
      </c>
      <c r="J26" s="2"/>
    </row>
    <row r="27" spans="1:10" s="1" customFormat="1" ht="17.25" customHeight="1" x14ac:dyDescent="0.2">
      <c r="A27" s="15" t="s">
        <v>33</v>
      </c>
      <c r="B27" s="11">
        <v>463.2</v>
      </c>
      <c r="C27" s="11">
        <v>264.70000000000005</v>
      </c>
      <c r="D27" s="11">
        <v>264.70000000000005</v>
      </c>
      <c r="E27" s="12">
        <v>0</v>
      </c>
      <c r="F27" s="12">
        <v>-42.9</v>
      </c>
      <c r="G27" s="12">
        <v>0</v>
      </c>
      <c r="H27" s="12">
        <v>-198.49999999999994</v>
      </c>
      <c r="J27" s="2"/>
    </row>
    <row r="28" spans="1:10" s="1" customFormat="1" ht="17.25" customHeight="1" x14ac:dyDescent="0.2">
      <c r="A28" s="15" t="s">
        <v>34</v>
      </c>
      <c r="B28" s="11">
        <v>428.9</v>
      </c>
      <c r="C28" s="11">
        <v>584.9</v>
      </c>
      <c r="D28" s="11">
        <v>588.4</v>
      </c>
      <c r="E28" s="12">
        <v>0.6</v>
      </c>
      <c r="F28" s="12">
        <v>37.200000000000003</v>
      </c>
      <c r="G28" s="12">
        <v>3.5</v>
      </c>
      <c r="H28" s="12">
        <v>159.5</v>
      </c>
      <c r="J28" s="2"/>
    </row>
    <row r="29" spans="1:10" ht="17.25" customHeight="1" x14ac:dyDescent="0.2">
      <c r="A29" s="13" t="s">
        <v>36</v>
      </c>
      <c r="B29" s="11">
        <v>663.7</v>
      </c>
      <c r="C29" s="11">
        <v>680.99999999999989</v>
      </c>
      <c r="D29" s="11">
        <v>666.19999999999993</v>
      </c>
      <c r="E29" s="12">
        <v>-2.2000000000000002</v>
      </c>
      <c r="F29" s="12">
        <v>0.4</v>
      </c>
      <c r="G29" s="12">
        <v>-14.799999999999955</v>
      </c>
      <c r="H29" s="12">
        <v>2.4999999999998863</v>
      </c>
    </row>
    <row r="30" spans="1:10" s="1" customFormat="1" ht="17.25" customHeight="1" x14ac:dyDescent="0.2">
      <c r="A30" s="15" t="s">
        <v>32</v>
      </c>
      <c r="B30" s="11">
        <v>614.20000000000005</v>
      </c>
      <c r="C30" s="11">
        <v>639.69999999999993</v>
      </c>
      <c r="D30" s="11">
        <v>623.40000000000009</v>
      </c>
      <c r="E30" s="12">
        <v>-2.5</v>
      </c>
      <c r="F30" s="12">
        <v>1.5</v>
      </c>
      <c r="G30" s="12">
        <v>-16.299999999999841</v>
      </c>
      <c r="H30" s="12">
        <v>9.2000000000000455</v>
      </c>
      <c r="J30" s="2"/>
    </row>
    <row r="31" spans="1:10" s="1" customFormat="1" ht="17.25" customHeight="1" x14ac:dyDescent="0.2">
      <c r="A31" s="15" t="s">
        <v>33</v>
      </c>
      <c r="B31" s="11">
        <v>17.900000000000002</v>
      </c>
      <c r="C31" s="11">
        <v>16.3</v>
      </c>
      <c r="D31" s="11">
        <v>18.2</v>
      </c>
      <c r="E31" s="12">
        <v>11.7</v>
      </c>
      <c r="F31" s="12">
        <v>1.7</v>
      </c>
      <c r="G31" s="12">
        <v>1.8999999999999986</v>
      </c>
      <c r="H31" s="12">
        <v>0.29999999999999716</v>
      </c>
      <c r="J31" s="2"/>
    </row>
    <row r="32" spans="1:10" s="1" customFormat="1" ht="17.25" customHeight="1" x14ac:dyDescent="0.2">
      <c r="A32" s="15" t="s">
        <v>34</v>
      </c>
      <c r="B32" s="11">
        <v>31.599999999999998</v>
      </c>
      <c r="C32" s="11">
        <v>24.9</v>
      </c>
      <c r="D32" s="11">
        <v>24.7</v>
      </c>
      <c r="E32" s="12">
        <v>-0.8</v>
      </c>
      <c r="F32" s="12">
        <v>-21.8</v>
      </c>
      <c r="G32" s="12">
        <v>-0.19999999999999929</v>
      </c>
      <c r="H32" s="12">
        <v>-6.8999999999999986</v>
      </c>
      <c r="J32" s="2"/>
    </row>
    <row r="33" spans="1:10" s="1" customFormat="1" ht="17.25" customHeight="1" x14ac:dyDescent="0.2">
      <c r="A33" s="10" t="s">
        <v>37</v>
      </c>
      <c r="B33" s="11">
        <v>610.9</v>
      </c>
      <c r="C33" s="11">
        <v>343.3</v>
      </c>
      <c r="D33" s="11">
        <v>340.90000000000003</v>
      </c>
      <c r="E33" s="12">
        <v>-0.7</v>
      </c>
      <c r="F33" s="12">
        <v>-44.2</v>
      </c>
      <c r="G33" s="12">
        <v>-2.3999999999999773</v>
      </c>
      <c r="H33" s="12">
        <v>-269.99999999999994</v>
      </c>
      <c r="J33" s="2"/>
    </row>
    <row r="34" spans="1:10" ht="17.25" customHeight="1" x14ac:dyDescent="0.2">
      <c r="A34" s="10" t="s">
        <v>38</v>
      </c>
      <c r="B34" s="11">
        <v>100.4</v>
      </c>
      <c r="C34" s="11">
        <v>100.60000000000001</v>
      </c>
      <c r="D34" s="11">
        <v>97.500000000000014</v>
      </c>
      <c r="E34" s="12">
        <v>-3.1</v>
      </c>
      <c r="F34" s="12">
        <v>-2.9</v>
      </c>
      <c r="G34" s="12">
        <v>-3.0999999999999943</v>
      </c>
      <c r="H34" s="12">
        <v>-2.8999999999999915</v>
      </c>
    </row>
    <row r="35" spans="1:10" ht="17.25" customHeight="1" x14ac:dyDescent="0.2">
      <c r="A35" s="10" t="s">
        <v>39</v>
      </c>
      <c r="B35" s="11">
        <v>100.02</v>
      </c>
      <c r="C35" s="11">
        <v>121.05</v>
      </c>
      <c r="D35" s="11">
        <v>121.05</v>
      </c>
      <c r="E35" s="12">
        <v>0</v>
      </c>
      <c r="F35" s="12">
        <v>21</v>
      </c>
      <c r="G35" s="12">
        <v>0</v>
      </c>
      <c r="H35" s="12">
        <v>21.03</v>
      </c>
    </row>
    <row r="36" spans="1:10" ht="17.25" customHeight="1" x14ac:dyDescent="0.2">
      <c r="A36" s="10" t="s">
        <v>40</v>
      </c>
      <c r="B36" s="11">
        <v>141157.6</v>
      </c>
      <c r="C36" s="11">
        <v>142955</v>
      </c>
      <c r="D36" s="11">
        <v>144009.60000000001</v>
      </c>
      <c r="E36" s="12">
        <v>0.7</v>
      </c>
      <c r="F36" s="12">
        <v>2</v>
      </c>
      <c r="G36" s="12">
        <v>1054.6000000000058</v>
      </c>
      <c r="H36" s="12">
        <v>2852</v>
      </c>
    </row>
    <row r="37" spans="1:10" ht="17.25" customHeight="1" x14ac:dyDescent="0.2">
      <c r="A37" s="13" t="s">
        <v>41</v>
      </c>
      <c r="B37" s="11">
        <v>24935.8</v>
      </c>
      <c r="C37" s="11">
        <v>29486.1</v>
      </c>
      <c r="D37" s="11">
        <v>29487.8</v>
      </c>
      <c r="E37" s="12">
        <v>0</v>
      </c>
      <c r="F37" s="12">
        <v>18.3</v>
      </c>
      <c r="G37" s="12">
        <v>1.7000000000007276</v>
      </c>
      <c r="H37" s="12">
        <v>4552</v>
      </c>
    </row>
    <row r="38" spans="1:10" ht="17.25" customHeight="1" x14ac:dyDescent="0.2">
      <c r="A38" s="13" t="s">
        <v>42</v>
      </c>
      <c r="B38" s="11">
        <v>113228.4</v>
      </c>
      <c r="C38" s="11">
        <v>111030.9</v>
      </c>
      <c r="D38" s="11">
        <v>112130.8</v>
      </c>
      <c r="E38" s="12">
        <v>1</v>
      </c>
      <c r="F38" s="12">
        <v>-1</v>
      </c>
      <c r="G38" s="12">
        <v>1099.9000000000087</v>
      </c>
      <c r="H38" s="12">
        <v>-1097.5999999999913</v>
      </c>
    </row>
    <row r="39" spans="1:10" ht="17.25" customHeight="1" x14ac:dyDescent="0.2">
      <c r="A39" s="13" t="s">
        <v>43</v>
      </c>
      <c r="B39" s="11">
        <v>2993.6</v>
      </c>
      <c r="C39" s="11">
        <v>2438</v>
      </c>
      <c r="D39" s="11">
        <v>2390.9</v>
      </c>
      <c r="E39" s="12">
        <v>-1.9</v>
      </c>
      <c r="F39" s="12">
        <v>-20.100000000000001</v>
      </c>
      <c r="G39" s="12">
        <v>-47.099999999999909</v>
      </c>
      <c r="H39" s="12">
        <v>-602.69999999999982</v>
      </c>
    </row>
    <row r="40" spans="1:10" ht="17.25" customHeight="1" x14ac:dyDescent="0.2">
      <c r="A40" s="10" t="s">
        <v>44</v>
      </c>
      <c r="B40" s="11">
        <v>171480.5</v>
      </c>
      <c r="C40" s="11">
        <v>180463.5</v>
      </c>
      <c r="D40" s="11">
        <v>180406.6</v>
      </c>
      <c r="E40" s="12">
        <v>0</v>
      </c>
      <c r="F40" s="12">
        <v>5.2</v>
      </c>
      <c r="G40" s="12">
        <v>-56.899999999994179</v>
      </c>
      <c r="H40" s="12">
        <v>8926.1000000000058</v>
      </c>
    </row>
    <row r="41" spans="1:10" ht="17.25" customHeight="1" x14ac:dyDescent="0.2">
      <c r="A41" s="10" t="s">
        <v>45</v>
      </c>
      <c r="B41" s="11">
        <v>6102.2000000000007</v>
      </c>
      <c r="C41" s="11">
        <v>7365.5</v>
      </c>
      <c r="D41" s="11">
        <v>7348</v>
      </c>
      <c r="E41" s="12">
        <v>-0.2</v>
      </c>
      <c r="F41" s="12">
        <v>20.399999999999999</v>
      </c>
      <c r="G41" s="12">
        <v>-17.5</v>
      </c>
      <c r="H41" s="12">
        <v>1245.7999999999993</v>
      </c>
    </row>
    <row r="42" spans="1:10" ht="17.25" customHeight="1" x14ac:dyDescent="0.2">
      <c r="A42" s="16" t="s">
        <v>46</v>
      </c>
      <c r="B42" s="17">
        <v>342318.82000000018</v>
      </c>
      <c r="C42" s="17">
        <v>352466.85</v>
      </c>
      <c r="D42" s="17">
        <v>353505.75000000006</v>
      </c>
      <c r="E42" s="18">
        <v>0.3</v>
      </c>
      <c r="F42" s="19">
        <v>3.3</v>
      </c>
      <c r="G42" s="19">
        <v>1038.9000000000815</v>
      </c>
      <c r="H42" s="19">
        <v>11186.929999999877</v>
      </c>
    </row>
    <row r="43" spans="1:10" ht="17.25" customHeight="1" x14ac:dyDescent="0.2">
      <c r="A43" s="417" t="s">
        <v>47</v>
      </c>
      <c r="B43" s="418" t="s">
        <v>10</v>
      </c>
      <c r="C43" s="419"/>
      <c r="D43" s="419"/>
      <c r="E43" s="420" t="s">
        <v>11</v>
      </c>
      <c r="F43" s="421"/>
      <c r="G43" s="421"/>
      <c r="H43" s="422"/>
    </row>
    <row r="44" spans="1:10" ht="17.25" customHeight="1" x14ac:dyDescent="0.2">
      <c r="A44" s="417"/>
      <c r="B44" s="20" t="s">
        <v>3</v>
      </c>
      <c r="C44" s="423" t="s">
        <v>6</v>
      </c>
      <c r="D44" s="423"/>
      <c r="E44" s="424" t="s">
        <v>12</v>
      </c>
      <c r="F44" s="424"/>
      <c r="G44" s="424" t="s">
        <v>13</v>
      </c>
      <c r="H44" s="424"/>
    </row>
    <row r="45" spans="1:10" ht="33.75" customHeight="1" x14ac:dyDescent="0.2">
      <c r="A45" s="417"/>
      <c r="B45" s="7" t="s">
        <v>14</v>
      </c>
      <c r="C45" s="7" t="s">
        <v>210</v>
      </c>
      <c r="D45" s="7" t="s">
        <v>211</v>
      </c>
      <c r="E45" s="5" t="s">
        <v>15</v>
      </c>
      <c r="F45" s="5" t="s">
        <v>16</v>
      </c>
      <c r="G45" s="5" t="s">
        <v>17</v>
      </c>
      <c r="H45" s="5" t="s">
        <v>18</v>
      </c>
    </row>
    <row r="46" spans="1:10" ht="17.25" customHeight="1" x14ac:dyDescent="0.2">
      <c r="A46" s="10" t="s">
        <v>48</v>
      </c>
      <c r="B46" s="11">
        <v>1292.3000000000002</v>
      </c>
      <c r="C46" s="11">
        <v>1214.2</v>
      </c>
      <c r="D46" s="11">
        <v>1216.2</v>
      </c>
      <c r="E46" s="11">
        <v>0.2</v>
      </c>
      <c r="F46" s="11">
        <v>-5.9</v>
      </c>
      <c r="G46" s="11">
        <v>2</v>
      </c>
      <c r="H46" s="11">
        <v>-76.100000000000136</v>
      </c>
    </row>
    <row r="47" spans="1:10" ht="17.25" customHeight="1" x14ac:dyDescent="0.2">
      <c r="A47" s="10" t="s">
        <v>49</v>
      </c>
      <c r="B47" s="11">
        <v>344.8</v>
      </c>
      <c r="C47" s="11">
        <v>600.6</v>
      </c>
      <c r="D47" s="11">
        <v>600.6</v>
      </c>
      <c r="E47" s="11">
        <v>0</v>
      </c>
      <c r="F47" s="11">
        <v>74.2</v>
      </c>
      <c r="G47" s="11">
        <v>0</v>
      </c>
      <c r="H47" s="11">
        <v>255.8</v>
      </c>
    </row>
    <row r="48" spans="1:10" ht="17.25" customHeight="1" x14ac:dyDescent="0.2">
      <c r="A48" s="10" t="s">
        <v>50</v>
      </c>
      <c r="B48" s="11">
        <v>5</v>
      </c>
      <c r="C48" s="11">
        <v>5.2</v>
      </c>
      <c r="D48" s="11">
        <v>5.2</v>
      </c>
      <c r="E48" s="11">
        <v>0</v>
      </c>
      <c r="F48" s="11">
        <v>4</v>
      </c>
      <c r="G48" s="11">
        <v>0</v>
      </c>
      <c r="H48" s="11">
        <v>0.20000000000000018</v>
      </c>
    </row>
    <row r="49" spans="1:8" ht="17.25" customHeight="1" x14ac:dyDescent="0.2">
      <c r="A49" s="10" t="s">
        <v>51</v>
      </c>
      <c r="B49" s="11">
        <v>606.6</v>
      </c>
      <c r="C49" s="11">
        <v>614.9</v>
      </c>
      <c r="D49" s="11">
        <v>614.9</v>
      </c>
      <c r="E49" s="11">
        <v>0</v>
      </c>
      <c r="F49" s="11">
        <v>1.4</v>
      </c>
      <c r="G49" s="11">
        <v>0</v>
      </c>
      <c r="H49" s="11">
        <v>8.2999999999999545</v>
      </c>
    </row>
    <row r="50" spans="1:8" ht="17.25" customHeight="1" x14ac:dyDescent="0.2">
      <c r="A50" s="10" t="s">
        <v>52</v>
      </c>
      <c r="B50" s="11">
        <v>7873.4</v>
      </c>
      <c r="C50" s="11">
        <v>5813.1</v>
      </c>
      <c r="D50" s="11">
        <v>5739.7</v>
      </c>
      <c r="E50" s="11">
        <v>-1.3</v>
      </c>
      <c r="F50" s="11">
        <v>-27.1</v>
      </c>
      <c r="G50" s="11">
        <v>-73.400000000000546</v>
      </c>
      <c r="H50" s="11">
        <v>-2133.6999999999998</v>
      </c>
    </row>
    <row r="51" spans="1:8" ht="17.25" customHeight="1" x14ac:dyDescent="0.2">
      <c r="A51" s="10" t="s">
        <v>53</v>
      </c>
      <c r="B51" s="11">
        <v>36.6</v>
      </c>
      <c r="C51" s="11">
        <v>35.1</v>
      </c>
      <c r="D51" s="11">
        <v>35.1</v>
      </c>
      <c r="E51" s="11">
        <v>0</v>
      </c>
      <c r="F51" s="11">
        <v>-4.0999999999999996</v>
      </c>
      <c r="G51" s="11">
        <v>0</v>
      </c>
      <c r="H51" s="11">
        <v>-1.5</v>
      </c>
    </row>
    <row r="52" spans="1:8" ht="17.25" customHeight="1" x14ac:dyDescent="0.2">
      <c r="A52" s="16" t="s">
        <v>46</v>
      </c>
      <c r="B52" s="17">
        <v>10158.700000000001</v>
      </c>
      <c r="C52" s="17">
        <v>8283.1</v>
      </c>
      <c r="D52" s="17">
        <v>8211.7000000000007</v>
      </c>
      <c r="E52" s="18">
        <v>-0.9</v>
      </c>
      <c r="F52" s="18">
        <v>-19.2</v>
      </c>
      <c r="G52" s="18">
        <v>-71.399999999999636</v>
      </c>
      <c r="H52" s="18">
        <v>-1947</v>
      </c>
    </row>
    <row r="53" spans="1:8" ht="17.25" customHeight="1" x14ac:dyDescent="0.2">
      <c r="A53" s="21" t="s">
        <v>54</v>
      </c>
      <c r="B53" s="22">
        <v>352477.52000000019</v>
      </c>
      <c r="C53" s="22">
        <v>360749.94999999995</v>
      </c>
      <c r="D53" s="22">
        <v>361717.45000000007</v>
      </c>
      <c r="E53" s="23">
        <v>0.3</v>
      </c>
      <c r="F53" s="24">
        <v>2.6</v>
      </c>
      <c r="G53" s="23">
        <v>967.50000000011642</v>
      </c>
      <c r="H53" s="23">
        <v>9239.9299999998766</v>
      </c>
    </row>
    <row r="54" spans="1:8" ht="13.5" customHeight="1" x14ac:dyDescent="0.2">
      <c r="A54" s="25" t="s">
        <v>55</v>
      </c>
      <c r="B54" s="26"/>
      <c r="C54" s="26"/>
      <c r="D54" s="27"/>
      <c r="E54" s="28"/>
      <c r="F54" s="29"/>
      <c r="G54" s="26"/>
      <c r="H54" s="26"/>
    </row>
    <row r="55" spans="1:8" ht="13.5" customHeight="1" x14ac:dyDescent="0.2">
      <c r="A55" s="25" t="s">
        <v>7</v>
      </c>
      <c r="B55" s="26"/>
      <c r="C55" s="26"/>
      <c r="D55" s="26"/>
      <c r="E55" s="26"/>
      <c r="F55" s="26"/>
      <c r="G55" s="26"/>
      <c r="H55" s="26"/>
    </row>
    <row r="56" spans="1:8" ht="13.5" customHeight="1" x14ac:dyDescent="0.2">
      <c r="A56" s="25" t="s">
        <v>212</v>
      </c>
      <c r="B56" s="30"/>
      <c r="C56" s="30"/>
      <c r="D56" s="31"/>
      <c r="E56" s="26"/>
      <c r="F56" s="26"/>
      <c r="G56" s="26"/>
      <c r="H56" s="26"/>
    </row>
    <row r="57" spans="1:8" ht="20.25" customHeight="1" x14ac:dyDescent="0.2">
      <c r="A57" s="26"/>
      <c r="B57" s="26"/>
      <c r="C57" s="26"/>
      <c r="D57" s="26"/>
      <c r="E57" s="26"/>
      <c r="F57" s="26"/>
      <c r="G57" s="26"/>
      <c r="H57" s="26"/>
    </row>
    <row r="58" spans="1:8" ht="20.25" customHeight="1" x14ac:dyDescent="0.2">
      <c r="A58" s="26"/>
      <c r="B58" s="26"/>
      <c r="C58" s="26"/>
      <c r="D58" s="32"/>
      <c r="E58" s="26"/>
      <c r="F58" s="26"/>
      <c r="G58" s="26"/>
      <c r="H58" s="26"/>
    </row>
    <row r="59" spans="1:8" ht="20.25" customHeight="1" x14ac:dyDescent="0.2">
      <c r="A59" s="26"/>
      <c r="B59" s="26"/>
      <c r="C59" s="26"/>
      <c r="D59" s="26"/>
      <c r="E59" s="26"/>
      <c r="F59" s="26"/>
      <c r="G59" s="26"/>
      <c r="H59" s="26"/>
    </row>
    <row r="60" spans="1:8" ht="20.25" customHeight="1" x14ac:dyDescent="0.2">
      <c r="A60" s="26"/>
      <c r="B60" s="26"/>
      <c r="C60" s="26"/>
      <c r="D60" s="26"/>
      <c r="E60" s="26"/>
      <c r="F60" s="26"/>
      <c r="G60" s="26"/>
      <c r="H60" s="26"/>
    </row>
    <row r="61" spans="1:8" ht="20.25" customHeight="1" x14ac:dyDescent="0.2">
      <c r="A61" s="26"/>
      <c r="B61" s="26"/>
      <c r="C61" s="26"/>
      <c r="D61" s="26"/>
      <c r="E61" s="26"/>
      <c r="F61" s="26"/>
      <c r="G61" s="26"/>
      <c r="H61" s="26"/>
    </row>
    <row r="62" spans="1:8" ht="20.25" customHeight="1" x14ac:dyDescent="0.2">
      <c r="A62" s="26"/>
      <c r="B62" s="26"/>
      <c r="C62" s="26"/>
      <c r="D62" s="26"/>
      <c r="E62" s="26"/>
      <c r="F62" s="26"/>
      <c r="G62" s="26"/>
      <c r="H62" s="26"/>
    </row>
    <row r="63" spans="1:8" ht="20.25" customHeight="1" x14ac:dyDescent="0.2">
      <c r="A63" s="26"/>
      <c r="B63" s="26"/>
      <c r="C63" s="26"/>
      <c r="D63" s="26"/>
      <c r="E63" s="26"/>
      <c r="F63" s="26"/>
      <c r="G63" s="26"/>
      <c r="H63" s="26"/>
    </row>
    <row r="64" spans="1:8" ht="20.25" customHeight="1" x14ac:dyDescent="0.2">
      <c r="A64" s="26"/>
      <c r="B64" s="26"/>
      <c r="C64" s="26"/>
      <c r="D64" s="26"/>
      <c r="E64" s="26"/>
      <c r="F64" s="26"/>
      <c r="G64" s="26"/>
      <c r="H64" s="26"/>
    </row>
    <row r="65" spans="1:8" ht="20.25" customHeight="1" x14ac:dyDescent="0.2">
      <c r="A65" s="26"/>
      <c r="B65" s="26"/>
      <c r="C65" s="26"/>
      <c r="D65" s="26"/>
      <c r="E65" s="26"/>
      <c r="F65" s="26"/>
      <c r="G65" s="26"/>
      <c r="H65" s="26"/>
    </row>
    <row r="66" spans="1:8" ht="20.25" customHeight="1" x14ac:dyDescent="0.2">
      <c r="A66" s="26"/>
      <c r="B66" s="26"/>
      <c r="C66" s="26"/>
      <c r="D66" s="26"/>
      <c r="E66" s="26"/>
      <c r="F66" s="26"/>
      <c r="G66" s="26"/>
      <c r="H66" s="26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10" style="1" customWidth="1"/>
    <col min="8" max="257" width="11.42578125" style="1" customWidth="1"/>
  </cols>
  <sheetData>
    <row r="1" spans="1:16" ht="31.5" customHeight="1" x14ac:dyDescent="0.2">
      <c r="A1" s="428"/>
      <c r="B1" s="428"/>
      <c r="C1" s="428"/>
      <c r="D1" s="428"/>
      <c r="E1" s="428"/>
      <c r="F1" s="428"/>
      <c r="G1" s="428"/>
      <c r="H1" s="428"/>
      <c r="I1" s="428"/>
      <c r="J1" s="428"/>
      <c r="K1" s="69"/>
    </row>
    <row r="2" spans="1:16" ht="15.75" customHeight="1" x14ac:dyDescent="0.2">
      <c r="K2" s="70"/>
    </row>
    <row r="3" spans="1:16" ht="15.75" customHeight="1" x14ac:dyDescent="0.2">
      <c r="K3" s="70"/>
    </row>
    <row r="4" spans="1:16" ht="15.75" customHeight="1" x14ac:dyDescent="0.2">
      <c r="K4" s="70"/>
    </row>
    <row r="5" spans="1:16" ht="30" customHeight="1" x14ac:dyDescent="0.2">
      <c r="A5" s="411" t="s">
        <v>61</v>
      </c>
      <c r="B5" s="430" t="s">
        <v>62</v>
      </c>
      <c r="C5" s="431"/>
      <c r="D5" s="432"/>
      <c r="E5" s="411" t="s">
        <v>63</v>
      </c>
      <c r="F5" s="411"/>
      <c r="G5" s="411"/>
      <c r="H5" s="411" t="s">
        <v>64</v>
      </c>
      <c r="I5" s="411"/>
      <c r="J5" s="411"/>
      <c r="K5" s="51"/>
    </row>
    <row r="6" spans="1:16" ht="19.5" customHeight="1" x14ac:dyDescent="0.2">
      <c r="A6" s="411"/>
      <c r="B6" s="6" t="s">
        <v>2</v>
      </c>
      <c r="C6" s="6" t="s">
        <v>5</v>
      </c>
      <c r="D6" s="6" t="s">
        <v>65</v>
      </c>
      <c r="E6" s="6" t="s">
        <v>2</v>
      </c>
      <c r="F6" s="6" t="s">
        <v>5</v>
      </c>
      <c r="G6" s="6" t="s">
        <v>65</v>
      </c>
      <c r="H6" s="6" t="s">
        <v>2</v>
      </c>
      <c r="I6" s="6" t="s">
        <v>5</v>
      </c>
      <c r="J6" s="6" t="s">
        <v>65</v>
      </c>
      <c r="K6" s="51"/>
    </row>
    <row r="7" spans="1:16" ht="19.5" customHeight="1" x14ac:dyDescent="0.2">
      <c r="A7" s="429"/>
      <c r="B7" s="71" t="s">
        <v>66</v>
      </c>
      <c r="C7" s="9" t="s">
        <v>67</v>
      </c>
      <c r="D7" s="9" t="s">
        <v>68</v>
      </c>
      <c r="E7" s="9" t="s">
        <v>69</v>
      </c>
      <c r="F7" s="72" t="s">
        <v>70</v>
      </c>
      <c r="G7" s="73" t="s">
        <v>71</v>
      </c>
      <c r="H7" s="74" t="s">
        <v>72</v>
      </c>
      <c r="I7" s="73" t="s">
        <v>73</v>
      </c>
      <c r="J7" s="75" t="s">
        <v>74</v>
      </c>
      <c r="K7" s="76"/>
      <c r="L7" s="77"/>
      <c r="M7" s="77"/>
      <c r="N7" s="77"/>
    </row>
    <row r="8" spans="1:16" s="78" customFormat="1" ht="15.75" customHeight="1" x14ac:dyDescent="0.2">
      <c r="A8" s="79" t="s">
        <v>75</v>
      </c>
      <c r="B8" s="80">
        <v>5958.4</v>
      </c>
      <c r="C8" s="81">
        <v>6276.1</v>
      </c>
      <c r="D8" s="80">
        <v>5.3</v>
      </c>
      <c r="E8" s="82">
        <v>3803.7560418904413</v>
      </c>
      <c r="F8" s="83">
        <v>3883.4467264702598</v>
      </c>
      <c r="G8" s="84">
        <v>2.1</v>
      </c>
      <c r="H8" s="84">
        <v>22664.300000000003</v>
      </c>
      <c r="I8" s="84">
        <v>24372.899999999998</v>
      </c>
      <c r="J8" s="80">
        <v>7.5</v>
      </c>
      <c r="K8" s="85"/>
    </row>
    <row r="9" spans="1:16" ht="15.75" customHeight="1" x14ac:dyDescent="0.2">
      <c r="A9" s="86" t="s">
        <v>76</v>
      </c>
      <c r="B9" s="87">
        <v>171.9</v>
      </c>
      <c r="C9" s="87">
        <v>179.8</v>
      </c>
      <c r="D9" s="87">
        <v>4.5999999999999996</v>
      </c>
      <c r="E9" s="88">
        <v>4027.3414776032573</v>
      </c>
      <c r="F9" s="88">
        <v>3422.1357063403775</v>
      </c>
      <c r="G9" s="87">
        <v>-15</v>
      </c>
      <c r="H9" s="87">
        <v>692.3</v>
      </c>
      <c r="I9" s="87">
        <v>615.29999999999995</v>
      </c>
      <c r="J9" s="87">
        <v>-11.1</v>
      </c>
      <c r="K9" s="51"/>
      <c r="P9" s="78"/>
    </row>
    <row r="10" spans="1:16" ht="15.75" customHeight="1" x14ac:dyDescent="0.2">
      <c r="A10" s="86" t="s">
        <v>77</v>
      </c>
      <c r="B10" s="87">
        <v>1242.8000000000002</v>
      </c>
      <c r="C10" s="87">
        <v>1209.4000000000001</v>
      </c>
      <c r="D10" s="87">
        <v>-2.7</v>
      </c>
      <c r="E10" s="88">
        <v>4368.9250080463462</v>
      </c>
      <c r="F10" s="88">
        <v>4389.1185711923272</v>
      </c>
      <c r="G10" s="87">
        <v>0.5</v>
      </c>
      <c r="H10" s="87">
        <v>5429.7</v>
      </c>
      <c r="I10" s="87">
        <v>5308.2000000000007</v>
      </c>
      <c r="J10" s="87">
        <v>-2.2000000000000002</v>
      </c>
      <c r="K10" s="51"/>
      <c r="P10" s="78"/>
    </row>
    <row r="11" spans="1:16" ht="15.75" customHeight="1" x14ac:dyDescent="0.2">
      <c r="A11" s="86" t="s">
        <v>78</v>
      </c>
      <c r="B11" s="87">
        <v>68.7</v>
      </c>
      <c r="C11" s="87">
        <v>72.900000000000006</v>
      </c>
      <c r="D11" s="87">
        <v>6.1</v>
      </c>
      <c r="E11" s="88">
        <v>3081.5138282387188</v>
      </c>
      <c r="F11" s="88">
        <v>3299.0397805212619</v>
      </c>
      <c r="G11" s="87">
        <v>7.1</v>
      </c>
      <c r="H11" s="87">
        <v>211.7</v>
      </c>
      <c r="I11" s="87">
        <v>240.5</v>
      </c>
      <c r="J11" s="87">
        <v>13.6</v>
      </c>
      <c r="K11" s="51"/>
      <c r="P11" s="78"/>
    </row>
    <row r="12" spans="1:16" ht="15.75" customHeight="1" x14ac:dyDescent="0.2">
      <c r="A12" s="86" t="s">
        <v>79</v>
      </c>
      <c r="B12" s="87">
        <v>28.6</v>
      </c>
      <c r="C12" s="87">
        <v>34.5</v>
      </c>
      <c r="D12" s="87">
        <v>20.6</v>
      </c>
      <c r="E12" s="88">
        <v>3024.4755244755243</v>
      </c>
      <c r="F12" s="88">
        <v>2881.159420289855</v>
      </c>
      <c r="G12" s="87">
        <v>-4.7</v>
      </c>
      <c r="H12" s="87">
        <v>86.5</v>
      </c>
      <c r="I12" s="87">
        <v>99.4</v>
      </c>
      <c r="J12" s="87">
        <v>14.9</v>
      </c>
      <c r="K12" s="51"/>
      <c r="P12" s="78"/>
    </row>
    <row r="13" spans="1:16" ht="15.75" customHeight="1" x14ac:dyDescent="0.2">
      <c r="A13" s="86" t="s">
        <v>80</v>
      </c>
      <c r="B13" s="87">
        <v>14</v>
      </c>
      <c r="C13" s="87">
        <v>15.3</v>
      </c>
      <c r="D13" s="87">
        <v>9.3000000000000007</v>
      </c>
      <c r="E13" s="88">
        <v>2142.8571428571427</v>
      </c>
      <c r="F13" s="88">
        <v>2294.1176470588234</v>
      </c>
      <c r="G13" s="87">
        <v>7.1</v>
      </c>
      <c r="H13" s="87">
        <v>30</v>
      </c>
      <c r="I13" s="87">
        <v>35.1</v>
      </c>
      <c r="J13" s="87">
        <v>17</v>
      </c>
      <c r="K13" s="51"/>
      <c r="P13" s="78"/>
    </row>
    <row r="14" spans="1:16" ht="15.75" customHeight="1" x14ac:dyDescent="0.2">
      <c r="A14" s="86" t="s">
        <v>81</v>
      </c>
      <c r="B14" s="87">
        <v>2023.8</v>
      </c>
      <c r="C14" s="87">
        <v>2258.7000000000003</v>
      </c>
      <c r="D14" s="87">
        <v>11.6</v>
      </c>
      <c r="E14" s="88">
        <v>3479.5928451428008</v>
      </c>
      <c r="F14" s="88">
        <v>3694.5588170186384</v>
      </c>
      <c r="G14" s="87">
        <v>6.2</v>
      </c>
      <c r="H14" s="87">
        <v>7042</v>
      </c>
      <c r="I14" s="87">
        <v>8344.9</v>
      </c>
      <c r="J14" s="87">
        <v>18.5</v>
      </c>
      <c r="K14" s="51"/>
      <c r="P14" s="78"/>
    </row>
    <row r="15" spans="1:16" ht="15.75" customHeight="1" x14ac:dyDescent="0.2">
      <c r="A15" s="86" t="s">
        <v>82</v>
      </c>
      <c r="B15" s="87">
        <v>2408.6</v>
      </c>
      <c r="C15" s="87">
        <v>2505.5000000000005</v>
      </c>
      <c r="D15" s="87">
        <v>4</v>
      </c>
      <c r="E15" s="88">
        <v>3808.0627750560498</v>
      </c>
      <c r="F15" s="88">
        <v>3883.2568349630806</v>
      </c>
      <c r="G15" s="87">
        <v>2</v>
      </c>
      <c r="H15" s="87">
        <v>9172.1</v>
      </c>
      <c r="I15" s="87">
        <v>9729.5</v>
      </c>
      <c r="J15" s="87">
        <v>6.1</v>
      </c>
      <c r="K15" s="51"/>
      <c r="P15" s="78"/>
    </row>
    <row r="16" spans="1:16" s="78" customFormat="1" ht="15.75" customHeight="1" x14ac:dyDescent="0.2">
      <c r="A16" s="89" t="s">
        <v>83</v>
      </c>
      <c r="B16" s="80">
        <v>10041.6</v>
      </c>
      <c r="C16" s="80">
        <v>10237.600000000002</v>
      </c>
      <c r="D16" s="80">
        <v>2</v>
      </c>
      <c r="E16" s="82">
        <v>3129.0451720841302</v>
      </c>
      <c r="F16" s="82">
        <v>3326.4388137844799</v>
      </c>
      <c r="G16" s="80">
        <v>6.3</v>
      </c>
      <c r="H16" s="80">
        <v>31420.620000000003</v>
      </c>
      <c r="I16" s="80">
        <v>34054.75</v>
      </c>
      <c r="J16" s="80">
        <v>8.4</v>
      </c>
      <c r="K16" s="85"/>
    </row>
    <row r="17" spans="1:16" ht="15.75" customHeight="1" x14ac:dyDescent="0.2">
      <c r="A17" s="86" t="s">
        <v>84</v>
      </c>
      <c r="B17" s="87">
        <v>2257.6</v>
      </c>
      <c r="C17" s="87">
        <v>2323.4</v>
      </c>
      <c r="D17" s="87">
        <v>2.9</v>
      </c>
      <c r="E17" s="88">
        <v>3894.5783132530128</v>
      </c>
      <c r="F17" s="88">
        <v>3893.2168373934746</v>
      </c>
      <c r="G17" s="87">
        <v>0</v>
      </c>
      <c r="H17" s="87">
        <v>8792.4000000000015</v>
      </c>
      <c r="I17" s="87">
        <v>9045.5</v>
      </c>
      <c r="J17" s="87">
        <v>2.9</v>
      </c>
      <c r="K17" s="51"/>
      <c r="P17" s="78"/>
    </row>
    <row r="18" spans="1:16" ht="15.75" customHeight="1" x14ac:dyDescent="0.2">
      <c r="A18" s="86" t="s">
        <v>85</v>
      </c>
      <c r="B18" s="87">
        <v>1942.6000000000004</v>
      </c>
      <c r="C18" s="87">
        <v>1998.7</v>
      </c>
      <c r="D18" s="87">
        <v>2.9</v>
      </c>
      <c r="E18" s="88">
        <v>3221.4557809121793</v>
      </c>
      <c r="F18" s="88">
        <v>3757.0921098714161</v>
      </c>
      <c r="G18" s="87">
        <v>16.600000000000001</v>
      </c>
      <c r="H18" s="87">
        <v>6258</v>
      </c>
      <c r="I18" s="87">
        <v>7509.2999999999993</v>
      </c>
      <c r="J18" s="87">
        <v>20</v>
      </c>
      <c r="K18" s="51"/>
      <c r="P18" s="78"/>
    </row>
    <row r="19" spans="1:16" ht="15.75" customHeight="1" x14ac:dyDescent="0.2">
      <c r="A19" s="86" t="s">
        <v>86</v>
      </c>
      <c r="B19" s="87">
        <v>938.7</v>
      </c>
      <c r="C19" s="87">
        <v>919.80000000000007</v>
      </c>
      <c r="D19" s="87">
        <v>-2</v>
      </c>
      <c r="E19" s="88">
        <v>379.37573239586652</v>
      </c>
      <c r="F19" s="88">
        <v>955.91432920200043</v>
      </c>
      <c r="G19" s="87">
        <v>152</v>
      </c>
      <c r="H19" s="87">
        <v>356.11999999999995</v>
      </c>
      <c r="I19" s="87">
        <v>879.25000000000011</v>
      </c>
      <c r="J19" s="87">
        <v>146.9</v>
      </c>
      <c r="K19" s="51"/>
      <c r="P19" s="78"/>
    </row>
    <row r="20" spans="1:16" ht="15.75" customHeight="1" x14ac:dyDescent="0.2">
      <c r="A20" s="86" t="s">
        <v>87</v>
      </c>
      <c r="B20" s="87">
        <v>112.6</v>
      </c>
      <c r="C20" s="87">
        <v>108.6</v>
      </c>
      <c r="D20" s="87">
        <v>-3.6</v>
      </c>
      <c r="E20" s="88">
        <v>273.53463587921851</v>
      </c>
      <c r="F20" s="88">
        <v>454.8802946593002</v>
      </c>
      <c r="G20" s="87">
        <v>66.3</v>
      </c>
      <c r="H20" s="87">
        <v>30.8</v>
      </c>
      <c r="I20" s="87">
        <v>49.4</v>
      </c>
      <c r="J20" s="87">
        <v>60.4</v>
      </c>
      <c r="K20" s="51"/>
      <c r="P20" s="78"/>
    </row>
    <row r="21" spans="1:16" ht="15.75" customHeight="1" x14ac:dyDescent="0.2">
      <c r="A21" s="86" t="s">
        <v>88</v>
      </c>
      <c r="B21" s="87">
        <v>224.20000000000002</v>
      </c>
      <c r="C21" s="87">
        <v>191.29999999999998</v>
      </c>
      <c r="D21" s="87">
        <v>-14.7</v>
      </c>
      <c r="E21" s="88">
        <v>388.04638715432651</v>
      </c>
      <c r="F21" s="88">
        <v>458.96497647673823</v>
      </c>
      <c r="G21" s="87">
        <v>18.3</v>
      </c>
      <c r="H21" s="87">
        <v>87</v>
      </c>
      <c r="I21" s="87">
        <v>87.800000000000011</v>
      </c>
      <c r="J21" s="87">
        <v>0.9</v>
      </c>
      <c r="K21" s="51"/>
      <c r="P21" s="78"/>
    </row>
    <row r="22" spans="1:16" ht="15.75" customHeight="1" x14ac:dyDescent="0.2">
      <c r="A22" s="86" t="s">
        <v>89</v>
      </c>
      <c r="B22" s="87">
        <v>370.7</v>
      </c>
      <c r="C22" s="87">
        <v>366.3</v>
      </c>
      <c r="D22" s="87">
        <v>-1.2</v>
      </c>
      <c r="E22" s="88">
        <v>947.12705691934173</v>
      </c>
      <c r="F22" s="88">
        <v>965.05596505596498</v>
      </c>
      <c r="G22" s="87">
        <v>1.9</v>
      </c>
      <c r="H22" s="87">
        <v>351.09999999999997</v>
      </c>
      <c r="I22" s="87">
        <v>353.5</v>
      </c>
      <c r="J22" s="87">
        <v>0.7</v>
      </c>
      <c r="K22" s="51"/>
      <c r="P22" s="78"/>
    </row>
    <row r="23" spans="1:16" ht="15.75" customHeight="1" x14ac:dyDescent="0.2">
      <c r="A23" s="86" t="s">
        <v>90</v>
      </c>
      <c r="B23" s="87">
        <v>59.3</v>
      </c>
      <c r="C23" s="87">
        <v>52.599999999999994</v>
      </c>
      <c r="D23" s="87">
        <v>-11.3</v>
      </c>
      <c r="E23" s="88">
        <v>3578.4148397976392</v>
      </c>
      <c r="F23" s="88">
        <v>2422.0532319391641</v>
      </c>
      <c r="G23" s="87">
        <v>-32.299999999999997</v>
      </c>
      <c r="H23" s="87">
        <v>212.2</v>
      </c>
      <c r="I23" s="87">
        <v>127.4</v>
      </c>
      <c r="J23" s="87">
        <v>-40</v>
      </c>
      <c r="K23" s="51"/>
      <c r="P23" s="78"/>
    </row>
    <row r="24" spans="1:16" ht="15.75" customHeight="1" x14ac:dyDescent="0.2">
      <c r="A24" s="86" t="s">
        <v>91</v>
      </c>
      <c r="B24" s="87">
        <v>194.7</v>
      </c>
      <c r="C24" s="87">
        <v>193.9</v>
      </c>
      <c r="D24" s="87">
        <v>-0.4</v>
      </c>
      <c r="E24" s="88">
        <v>6738.0585516178744</v>
      </c>
      <c r="F24" s="88">
        <v>4460.0309437854567</v>
      </c>
      <c r="G24" s="87">
        <v>-33.799999999999997</v>
      </c>
      <c r="H24" s="87">
        <v>1311.9</v>
      </c>
      <c r="I24" s="87">
        <v>864.80000000000007</v>
      </c>
      <c r="J24" s="87">
        <v>-34.1</v>
      </c>
      <c r="K24" s="51"/>
      <c r="P24" s="78"/>
    </row>
    <row r="25" spans="1:16" ht="15.75" customHeight="1" x14ac:dyDescent="0.2">
      <c r="A25" s="86" t="s">
        <v>92</v>
      </c>
      <c r="B25" s="87">
        <v>3941.2</v>
      </c>
      <c r="C25" s="87">
        <v>4083.0000000000005</v>
      </c>
      <c r="D25" s="87">
        <v>3.6</v>
      </c>
      <c r="E25" s="88">
        <v>3557.5712980818025</v>
      </c>
      <c r="F25" s="88">
        <v>3707.518981141317</v>
      </c>
      <c r="G25" s="87">
        <v>4.2</v>
      </c>
      <c r="H25" s="87">
        <v>14021.1</v>
      </c>
      <c r="I25" s="87">
        <v>15137.8</v>
      </c>
      <c r="J25" s="87">
        <v>8</v>
      </c>
      <c r="K25" s="51"/>
      <c r="L25" s="77"/>
      <c r="N25" s="77"/>
      <c r="P25" s="78"/>
    </row>
    <row r="26" spans="1:16" s="78" customFormat="1" ht="15.75" customHeight="1" x14ac:dyDescent="0.2">
      <c r="A26" s="89" t="s">
        <v>93</v>
      </c>
      <c r="B26" s="80">
        <v>37018.300000000003</v>
      </c>
      <c r="C26" s="80">
        <v>37885.899999999994</v>
      </c>
      <c r="D26" s="80">
        <v>2.2999999999999998</v>
      </c>
      <c r="E26" s="82">
        <v>4848.904460766702</v>
      </c>
      <c r="F26" s="82">
        <v>4763.9174468601786</v>
      </c>
      <c r="G26" s="80">
        <v>-1.8</v>
      </c>
      <c r="H26" s="80">
        <v>179498.2</v>
      </c>
      <c r="I26" s="80">
        <v>180485.3</v>
      </c>
      <c r="J26" s="80">
        <v>0.5</v>
      </c>
      <c r="K26" s="90"/>
      <c r="L26" s="77"/>
      <c r="N26" s="77"/>
    </row>
    <row r="27" spans="1:16" ht="15.75" customHeight="1" x14ac:dyDescent="0.2">
      <c r="A27" s="86" t="s">
        <v>94</v>
      </c>
      <c r="B27" s="87">
        <v>22593.9</v>
      </c>
      <c r="C27" s="87">
        <v>22827</v>
      </c>
      <c r="D27" s="87">
        <v>1</v>
      </c>
      <c r="E27" s="88">
        <v>4983.9646984363035</v>
      </c>
      <c r="F27" s="88">
        <v>5060.3145397993603</v>
      </c>
      <c r="G27" s="87">
        <v>1.5</v>
      </c>
      <c r="H27" s="87">
        <v>112607.20000000001</v>
      </c>
      <c r="I27" s="87">
        <v>115511.8</v>
      </c>
      <c r="J27" s="87">
        <v>2.6</v>
      </c>
      <c r="K27" s="51"/>
      <c r="P27" s="78"/>
    </row>
    <row r="28" spans="1:16" ht="15.75" customHeight="1" x14ac:dyDescent="0.2">
      <c r="A28" s="86" t="s">
        <v>95</v>
      </c>
      <c r="B28" s="87">
        <v>6644.9999999999991</v>
      </c>
      <c r="C28" s="87">
        <v>6894.8</v>
      </c>
      <c r="D28" s="87">
        <v>3.8</v>
      </c>
      <c r="E28" s="88">
        <v>4303.4462001504899</v>
      </c>
      <c r="F28" s="88">
        <v>4454.617972965133</v>
      </c>
      <c r="G28" s="87">
        <v>3.5</v>
      </c>
      <c r="H28" s="87">
        <v>28596.400000000001</v>
      </c>
      <c r="I28" s="87">
        <v>30713.7</v>
      </c>
      <c r="J28" s="87">
        <v>7.4</v>
      </c>
      <c r="K28" s="51"/>
      <c r="L28" s="77"/>
      <c r="N28" s="77"/>
      <c r="P28" s="78"/>
    </row>
    <row r="29" spans="1:16" ht="15.75" customHeight="1" x14ac:dyDescent="0.2">
      <c r="A29" s="86" t="s">
        <v>96</v>
      </c>
      <c r="B29" s="87">
        <v>7592.9999999999991</v>
      </c>
      <c r="C29" s="87">
        <v>7971.4</v>
      </c>
      <c r="D29" s="87">
        <v>5</v>
      </c>
      <c r="E29" s="88">
        <v>4920.7296193862767</v>
      </c>
      <c r="F29" s="88">
        <v>4179.6422209398606</v>
      </c>
      <c r="G29" s="87">
        <v>-15.1</v>
      </c>
      <c r="H29" s="87">
        <v>37363.1</v>
      </c>
      <c r="I29" s="87">
        <v>33317.600000000006</v>
      </c>
      <c r="J29" s="87">
        <v>-10.8</v>
      </c>
      <c r="K29" s="51"/>
      <c r="L29" s="77"/>
      <c r="N29" s="77"/>
      <c r="P29" s="78"/>
    </row>
    <row r="30" spans="1:16" ht="15.75" customHeight="1" x14ac:dyDescent="0.2">
      <c r="A30" s="86" t="s">
        <v>97</v>
      </c>
      <c r="B30" s="87">
        <v>186.4</v>
      </c>
      <c r="C30" s="87">
        <v>192.70000000000002</v>
      </c>
      <c r="D30" s="87">
        <v>3.4</v>
      </c>
      <c r="E30" s="88">
        <v>4997.3175965665232</v>
      </c>
      <c r="F30" s="88">
        <v>4889.4654903995843</v>
      </c>
      <c r="G30" s="87">
        <v>-2.2000000000000002</v>
      </c>
      <c r="H30" s="87">
        <v>931.5</v>
      </c>
      <c r="I30" s="87">
        <v>942.2</v>
      </c>
      <c r="J30" s="87">
        <v>1.1000000000000001</v>
      </c>
      <c r="K30" s="51"/>
      <c r="L30" s="77"/>
      <c r="P30" s="78"/>
    </row>
    <row r="31" spans="1:16" s="78" customFormat="1" ht="15.75" customHeight="1" x14ac:dyDescent="0.2">
      <c r="A31" s="89" t="s">
        <v>98</v>
      </c>
      <c r="B31" s="80">
        <v>6994.0000000000009</v>
      </c>
      <c r="C31" s="80">
        <v>7151.5</v>
      </c>
      <c r="D31" s="80">
        <v>2.2999999999999998</v>
      </c>
      <c r="E31" s="82">
        <v>4311.3096940234482</v>
      </c>
      <c r="F31" s="82">
        <v>4392.9105782003771</v>
      </c>
      <c r="G31" s="80">
        <v>1.9</v>
      </c>
      <c r="H31" s="80">
        <v>30153.300000000003</v>
      </c>
      <c r="I31" s="80">
        <v>31415.899999999994</v>
      </c>
      <c r="J31" s="80">
        <v>4.2</v>
      </c>
      <c r="K31" s="90"/>
      <c r="M31" s="77"/>
    </row>
    <row r="32" spans="1:16" ht="15.75" customHeight="1" x14ac:dyDescent="0.2">
      <c r="A32" s="86" t="s">
        <v>99</v>
      </c>
      <c r="B32" s="87">
        <v>4298.0000000000009</v>
      </c>
      <c r="C32" s="87">
        <v>4378.8</v>
      </c>
      <c r="D32" s="87">
        <v>1.9</v>
      </c>
      <c r="E32" s="88">
        <v>4283.0618892508146</v>
      </c>
      <c r="F32" s="88">
        <v>4351.2834566547917</v>
      </c>
      <c r="G32" s="87">
        <v>1.6</v>
      </c>
      <c r="H32" s="87">
        <v>18408.600000000002</v>
      </c>
      <c r="I32" s="87">
        <v>19053.400000000001</v>
      </c>
      <c r="J32" s="87">
        <v>3.5</v>
      </c>
      <c r="K32" s="51"/>
      <c r="M32" s="77"/>
      <c r="N32" s="77"/>
      <c r="P32" s="78"/>
    </row>
    <row r="33" spans="1:16" ht="15.75" customHeight="1" x14ac:dyDescent="0.2">
      <c r="A33" s="86" t="s">
        <v>100</v>
      </c>
      <c r="B33" s="87">
        <v>25.200000000000003</v>
      </c>
      <c r="C33" s="87">
        <v>25</v>
      </c>
      <c r="D33" s="87">
        <v>-0.8</v>
      </c>
      <c r="E33" s="88">
        <v>2829.3650793650791</v>
      </c>
      <c r="F33" s="88">
        <v>2720</v>
      </c>
      <c r="G33" s="87">
        <v>-3.9</v>
      </c>
      <c r="H33" s="87">
        <v>71.3</v>
      </c>
      <c r="I33" s="87">
        <v>68</v>
      </c>
      <c r="J33" s="87">
        <v>-4.5999999999999996</v>
      </c>
      <c r="K33" s="51"/>
      <c r="P33" s="78"/>
    </row>
    <row r="34" spans="1:16" ht="15.75" customHeight="1" x14ac:dyDescent="0.2">
      <c r="A34" s="86" t="s">
        <v>101</v>
      </c>
      <c r="B34" s="87">
        <v>2.8</v>
      </c>
      <c r="C34" s="87">
        <v>2.4</v>
      </c>
      <c r="D34" s="87">
        <v>-14.3</v>
      </c>
      <c r="E34" s="88">
        <v>3285.7142857142858</v>
      </c>
      <c r="F34" s="88">
        <v>3458.3333333333339</v>
      </c>
      <c r="G34" s="87">
        <v>5.3</v>
      </c>
      <c r="H34" s="87">
        <v>9.1999999999999993</v>
      </c>
      <c r="I34" s="87">
        <v>8.3000000000000007</v>
      </c>
      <c r="J34" s="87">
        <v>-9.8000000000000007</v>
      </c>
      <c r="K34" s="51"/>
      <c r="P34" s="78"/>
    </row>
    <row r="35" spans="1:16" ht="15.75" customHeight="1" x14ac:dyDescent="0.2">
      <c r="A35" s="86" t="s">
        <v>102</v>
      </c>
      <c r="B35" s="87">
        <v>2668</v>
      </c>
      <c r="C35" s="87">
        <v>2745.3000000000006</v>
      </c>
      <c r="D35" s="87">
        <v>2.9</v>
      </c>
      <c r="E35" s="88">
        <v>4371.8890554722648</v>
      </c>
      <c r="F35" s="88">
        <v>4475.3578843842197</v>
      </c>
      <c r="G35" s="87">
        <v>2.4</v>
      </c>
      <c r="H35" s="87">
        <v>11664.2</v>
      </c>
      <c r="I35" s="87">
        <v>12286.2</v>
      </c>
      <c r="J35" s="87">
        <v>5.3</v>
      </c>
      <c r="K35" s="51"/>
      <c r="P35" s="78"/>
    </row>
    <row r="36" spans="1:16" s="78" customFormat="1" ht="15.75" customHeight="1" x14ac:dyDescent="0.2">
      <c r="A36" s="89" t="s">
        <v>103</v>
      </c>
      <c r="B36" s="80">
        <v>22016.3</v>
      </c>
      <c r="C36" s="80">
        <v>21899.399999999994</v>
      </c>
      <c r="D36" s="80">
        <v>-0.5</v>
      </c>
      <c r="E36" s="82">
        <v>4030.6999813774346</v>
      </c>
      <c r="F36" s="82">
        <v>4173.1097655643543</v>
      </c>
      <c r="G36" s="80">
        <v>3.5</v>
      </c>
      <c r="H36" s="80">
        <v>88741.1</v>
      </c>
      <c r="I36" s="80">
        <v>91388.6</v>
      </c>
      <c r="J36" s="80">
        <v>3</v>
      </c>
      <c r="K36" s="90"/>
      <c r="M36" s="77"/>
      <c r="N36" s="77"/>
    </row>
    <row r="37" spans="1:16" ht="15.75" customHeight="1" x14ac:dyDescent="0.2">
      <c r="A37" s="86" t="s">
        <v>104</v>
      </c>
      <c r="B37" s="87">
        <v>9954.9000000000015</v>
      </c>
      <c r="C37" s="87">
        <v>10426.899999999998</v>
      </c>
      <c r="D37" s="87">
        <v>4.7</v>
      </c>
      <c r="E37" s="88">
        <v>4491.2856985002345</v>
      </c>
      <c r="F37" s="88">
        <v>4510.5544313266646</v>
      </c>
      <c r="G37" s="87">
        <v>0.4</v>
      </c>
      <c r="H37" s="87">
        <v>44710.299999999996</v>
      </c>
      <c r="I37" s="87">
        <v>47031.099999999991</v>
      </c>
      <c r="J37" s="87">
        <v>5.2</v>
      </c>
      <c r="K37" s="51"/>
      <c r="N37" s="77"/>
      <c r="P37" s="78"/>
    </row>
    <row r="38" spans="1:16" ht="15.75" customHeight="1" x14ac:dyDescent="0.2">
      <c r="A38" s="86" t="s">
        <v>105</v>
      </c>
      <c r="B38" s="87">
        <v>1429</v>
      </c>
      <c r="C38" s="87">
        <v>1408.8</v>
      </c>
      <c r="D38" s="87">
        <v>-1.4</v>
      </c>
      <c r="E38" s="88">
        <v>5690.2029391182641</v>
      </c>
      <c r="F38" s="88">
        <v>5630.0397501419648</v>
      </c>
      <c r="G38" s="87">
        <v>-1.1000000000000001</v>
      </c>
      <c r="H38" s="87">
        <v>8131.3</v>
      </c>
      <c r="I38" s="87">
        <v>7931.5999999999995</v>
      </c>
      <c r="J38" s="87">
        <v>-2.5</v>
      </c>
      <c r="K38" s="51"/>
      <c r="M38" s="77"/>
      <c r="N38" s="77"/>
      <c r="P38" s="78"/>
    </row>
    <row r="39" spans="1:16" ht="15.75" customHeight="1" x14ac:dyDescent="0.2">
      <c r="A39" s="86" t="s">
        <v>106</v>
      </c>
      <c r="B39" s="87">
        <v>10632.399999999998</v>
      </c>
      <c r="C39" s="87">
        <v>10063.699999999999</v>
      </c>
      <c r="D39" s="87">
        <v>-5.3</v>
      </c>
      <c r="E39" s="88">
        <v>3376.4248899589943</v>
      </c>
      <c r="F39" s="88">
        <v>3619.5335711517637</v>
      </c>
      <c r="G39" s="87">
        <v>7.2</v>
      </c>
      <c r="H39" s="87">
        <v>35899.5</v>
      </c>
      <c r="I39" s="87">
        <v>36425.9</v>
      </c>
      <c r="J39" s="87">
        <v>1.5</v>
      </c>
      <c r="K39" s="51"/>
      <c r="M39" s="77"/>
      <c r="N39" s="77"/>
      <c r="P39" s="78"/>
    </row>
    <row r="40" spans="1:16" ht="15.75" customHeight="1" x14ac:dyDescent="0.2">
      <c r="A40" s="89" t="s">
        <v>107</v>
      </c>
      <c r="B40" s="80">
        <v>16000</v>
      </c>
      <c r="C40" s="80">
        <v>16513.700000000004</v>
      </c>
      <c r="D40" s="80">
        <v>3.2</v>
      </c>
      <c r="E40" s="82">
        <v>3380.3074999999999</v>
      </c>
      <c r="F40" s="82">
        <v>3538.1319752690188</v>
      </c>
      <c r="G40" s="80">
        <v>4.7</v>
      </c>
      <c r="H40" s="80">
        <v>54084.92</v>
      </c>
      <c r="I40" s="80">
        <v>58427.650000000009</v>
      </c>
      <c r="J40" s="80">
        <v>8</v>
      </c>
      <c r="K40" s="51"/>
      <c r="M40" s="77"/>
      <c r="N40" s="77"/>
      <c r="P40" s="78"/>
    </row>
    <row r="41" spans="1:16" ht="15.75" customHeight="1" x14ac:dyDescent="0.2">
      <c r="A41" s="89" t="s">
        <v>108</v>
      </c>
      <c r="B41" s="91">
        <v>66028.600000000006</v>
      </c>
      <c r="C41" s="91">
        <v>66936.799999999988</v>
      </c>
      <c r="D41" s="91">
        <v>1.4</v>
      </c>
      <c r="E41" s="92">
        <v>4519.1417052610523</v>
      </c>
      <c r="F41" s="92">
        <v>4530.9874388975877</v>
      </c>
      <c r="G41" s="91">
        <v>0.3</v>
      </c>
      <c r="H41" s="91">
        <v>298392.59999999998</v>
      </c>
      <c r="I41" s="91">
        <v>303289.8</v>
      </c>
      <c r="J41" s="91">
        <v>1.6</v>
      </c>
      <c r="K41" s="93"/>
      <c r="M41" s="77"/>
      <c r="N41" s="77"/>
      <c r="P41" s="78"/>
    </row>
    <row r="42" spans="1:16" ht="15.75" customHeight="1" x14ac:dyDescent="0.2">
      <c r="A42" s="94" t="s">
        <v>58</v>
      </c>
      <c r="B42" s="95">
        <v>82028.600000000006</v>
      </c>
      <c r="C42" s="95">
        <v>83450.5</v>
      </c>
      <c r="D42" s="95">
        <v>1.7</v>
      </c>
      <c r="E42" s="96">
        <v>4297.007629046454</v>
      </c>
      <c r="F42" s="96">
        <v>4334.5150718090363</v>
      </c>
      <c r="G42" s="95">
        <v>0.9</v>
      </c>
      <c r="H42" s="95">
        <v>352477.51999999996</v>
      </c>
      <c r="I42" s="95">
        <v>361717.45</v>
      </c>
      <c r="J42" s="95">
        <v>2.6</v>
      </c>
      <c r="K42" s="51"/>
      <c r="M42" s="77"/>
      <c r="N42" s="77"/>
      <c r="P42" s="78"/>
    </row>
    <row r="43" spans="1:16" ht="27" customHeight="1" x14ac:dyDescent="0.2">
      <c r="A43" s="427" t="s">
        <v>109</v>
      </c>
      <c r="B43" s="427"/>
      <c r="C43" s="427"/>
      <c r="D43" s="427"/>
      <c r="E43" s="427"/>
      <c r="F43" s="427"/>
      <c r="G43" s="427"/>
      <c r="H43" s="427"/>
      <c r="I43" s="427"/>
      <c r="J43" s="427"/>
      <c r="K43" s="51"/>
    </row>
    <row r="44" spans="1:16" ht="13.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16" ht="13.5" customHeight="1" x14ac:dyDescent="0.2">
      <c r="A45" s="25" t="s">
        <v>212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16" ht="13.5" customHeight="1" x14ac:dyDescent="0.2">
      <c r="A46" s="25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16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16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20.25" customHeight="1" x14ac:dyDescent="0.2">
      <c r="G52" s="1" t="s">
        <v>60</v>
      </c>
    </row>
  </sheetData>
  <mergeCells count="6">
    <mergeCell ref="A43:J43"/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2085.6</v>
      </c>
      <c r="C8" s="105">
        <v>2018.4</v>
      </c>
      <c r="D8" s="105">
        <v>-3.2</v>
      </c>
      <c r="E8" s="106">
        <v>2776.1030074798623</v>
      </c>
      <c r="F8" s="106">
        <v>2910.4034227110583</v>
      </c>
      <c r="G8" s="105">
        <v>4.8</v>
      </c>
      <c r="H8" s="105">
        <v>5789.9</v>
      </c>
      <c r="I8" s="105">
        <v>5874.2000000000007</v>
      </c>
      <c r="J8" s="105">
        <v>1.5</v>
      </c>
      <c r="K8" s="26"/>
    </row>
    <row r="9" spans="1:14" ht="17.25" customHeight="1" x14ac:dyDescent="0.2">
      <c r="A9" s="104" t="s">
        <v>111</v>
      </c>
      <c r="B9" s="105">
        <v>2085.6</v>
      </c>
      <c r="C9" s="105">
        <v>2018.4</v>
      </c>
      <c r="D9" s="105">
        <v>-3.2</v>
      </c>
      <c r="E9" s="106">
        <v>1956.9909223245111</v>
      </c>
      <c r="F9" s="106">
        <v>2052.9281270313122</v>
      </c>
      <c r="G9" s="105">
        <v>4.9000000000000004</v>
      </c>
      <c r="H9" s="105">
        <v>4081.5</v>
      </c>
      <c r="I9" s="105">
        <v>4143.8</v>
      </c>
      <c r="J9" s="105">
        <v>1.5</v>
      </c>
      <c r="K9" s="26"/>
    </row>
    <row r="10" spans="1:14" ht="17.25" customHeight="1" x14ac:dyDescent="0.2">
      <c r="A10" s="104" t="s">
        <v>21</v>
      </c>
      <c r="B10" s="105">
        <v>280.40000000000003</v>
      </c>
      <c r="C10" s="105">
        <v>281.90000000000003</v>
      </c>
      <c r="D10" s="105">
        <v>0.5</v>
      </c>
      <c r="E10" s="106">
        <v>4135.9472182596282</v>
      </c>
      <c r="F10" s="106">
        <v>4546.953884356154</v>
      </c>
      <c r="G10" s="105">
        <v>9.9</v>
      </c>
      <c r="H10" s="105">
        <v>1159.6999999999998</v>
      </c>
      <c r="I10" s="105">
        <v>1281.6999999999998</v>
      </c>
      <c r="J10" s="105">
        <v>10.5</v>
      </c>
      <c r="K10" s="26"/>
    </row>
    <row r="11" spans="1:14" ht="17.25" customHeight="1" x14ac:dyDescent="0.2">
      <c r="A11" s="107" t="s">
        <v>22</v>
      </c>
      <c r="B11" s="105">
        <v>273.10000000000002</v>
      </c>
      <c r="C11" s="105">
        <v>274.8</v>
      </c>
      <c r="D11" s="105">
        <v>0.6</v>
      </c>
      <c r="E11" s="106">
        <v>4202.0684730867806</v>
      </c>
      <c r="F11" s="106">
        <v>4620.522561863173</v>
      </c>
      <c r="G11" s="105">
        <v>10</v>
      </c>
      <c r="H11" s="105">
        <v>1147.5999999999999</v>
      </c>
      <c r="I11" s="105">
        <v>1269.6999999999998</v>
      </c>
      <c r="J11" s="105">
        <v>10.6</v>
      </c>
      <c r="K11" s="26"/>
    </row>
    <row r="12" spans="1:14" ht="17.25" customHeight="1" x14ac:dyDescent="0.2">
      <c r="A12" s="107" t="s">
        <v>23</v>
      </c>
      <c r="B12" s="105">
        <v>7.3</v>
      </c>
      <c r="C12" s="105">
        <v>7.1</v>
      </c>
      <c r="D12" s="105">
        <v>-2.7</v>
      </c>
      <c r="E12" s="106">
        <v>1662.2876712328766</v>
      </c>
      <c r="F12" s="106">
        <v>1699.5352112676057</v>
      </c>
      <c r="G12" s="105">
        <v>2.2000000000000002</v>
      </c>
      <c r="H12" s="105">
        <v>12.100000000000001</v>
      </c>
      <c r="I12" s="105">
        <v>12</v>
      </c>
      <c r="J12" s="105">
        <v>-0.8</v>
      </c>
      <c r="K12" s="26"/>
    </row>
    <row r="13" spans="1:14" ht="17.25" customHeight="1" x14ac:dyDescent="0.2">
      <c r="A13" s="108" t="s">
        <v>24</v>
      </c>
      <c r="B13" s="109">
        <v>1763.8999999999999</v>
      </c>
      <c r="C13" s="109">
        <v>1516.7000000000003</v>
      </c>
      <c r="D13" s="109">
        <v>-14</v>
      </c>
      <c r="E13" s="110">
        <v>7232.5542264300693</v>
      </c>
      <c r="F13" s="110">
        <v>7302.6659853629581</v>
      </c>
      <c r="G13" s="109">
        <v>1</v>
      </c>
      <c r="H13" s="109">
        <v>12757.7</v>
      </c>
      <c r="I13" s="109">
        <v>11076.2</v>
      </c>
      <c r="J13" s="109">
        <v>-13.2</v>
      </c>
      <c r="K13" s="26"/>
    </row>
    <row r="14" spans="1:14" ht="17.25" customHeight="1" x14ac:dyDescent="0.2">
      <c r="A14" s="107" t="s">
        <v>25</v>
      </c>
      <c r="B14" s="105">
        <v>394.6</v>
      </c>
      <c r="C14" s="105">
        <v>252.89999999999998</v>
      </c>
      <c r="D14" s="105">
        <v>-35.9</v>
      </c>
      <c r="E14" s="106">
        <v>2934.6543335022802</v>
      </c>
      <c r="F14" s="106">
        <v>2548.2158956109133</v>
      </c>
      <c r="G14" s="105">
        <v>-13.2</v>
      </c>
      <c r="H14" s="105">
        <v>1158.2</v>
      </c>
      <c r="I14" s="105">
        <v>644.5</v>
      </c>
      <c r="J14" s="105">
        <v>-44.4</v>
      </c>
      <c r="K14" s="26"/>
    </row>
    <row r="15" spans="1:14" ht="17.25" customHeight="1" x14ac:dyDescent="0.2">
      <c r="A15" s="107" t="s">
        <v>26</v>
      </c>
      <c r="B15" s="105">
        <v>1369.3000000000002</v>
      </c>
      <c r="C15" s="105">
        <v>1263.8</v>
      </c>
      <c r="D15" s="105">
        <v>-7.7</v>
      </c>
      <c r="E15" s="106">
        <v>8471.1077192726207</v>
      </c>
      <c r="F15" s="106">
        <v>8254.0826871340396</v>
      </c>
      <c r="G15" s="105">
        <v>-2.6</v>
      </c>
      <c r="H15" s="105">
        <v>11599.500000000002</v>
      </c>
      <c r="I15" s="105">
        <v>10431.700000000001</v>
      </c>
      <c r="J15" s="105">
        <v>-10.1</v>
      </c>
      <c r="K15" s="26"/>
    </row>
    <row r="16" spans="1:14" ht="17.25" customHeight="1" x14ac:dyDescent="0.2">
      <c r="A16" s="104" t="s">
        <v>27</v>
      </c>
      <c r="B16" s="105">
        <v>2693</v>
      </c>
      <c r="C16" s="105">
        <v>2540.3999999999996</v>
      </c>
      <c r="D16" s="105">
        <v>-5.7</v>
      </c>
      <c r="E16" s="106">
        <v>1136.2538804307464</v>
      </c>
      <c r="F16" s="106">
        <v>1161.2088883640372</v>
      </c>
      <c r="G16" s="105">
        <v>2.2000000000000002</v>
      </c>
      <c r="H16" s="105">
        <v>3059.9</v>
      </c>
      <c r="I16" s="105">
        <v>2950</v>
      </c>
      <c r="J16" s="105">
        <v>-3.6</v>
      </c>
      <c r="K16" s="26"/>
    </row>
    <row r="17" spans="1:12" ht="17.25" customHeight="1" x14ac:dyDescent="0.2">
      <c r="A17" s="107" t="s">
        <v>31</v>
      </c>
      <c r="B17" s="105">
        <v>908.5</v>
      </c>
      <c r="C17" s="105">
        <v>793</v>
      </c>
      <c r="D17" s="105">
        <v>-12.7</v>
      </c>
      <c r="E17" s="106">
        <v>1169.5910842047331</v>
      </c>
      <c r="F17" s="106">
        <v>1228.153341740227</v>
      </c>
      <c r="G17" s="105">
        <v>5</v>
      </c>
      <c r="H17" s="105">
        <v>1062.7</v>
      </c>
      <c r="I17" s="105">
        <v>973.90000000000009</v>
      </c>
      <c r="J17" s="105">
        <v>-8.4</v>
      </c>
      <c r="K17" s="26"/>
    </row>
    <row r="18" spans="1:12" s="1" customFormat="1" ht="17.25" customHeight="1" x14ac:dyDescent="0.2">
      <c r="A18" s="111" t="s">
        <v>32</v>
      </c>
      <c r="B18" s="105">
        <v>347.3</v>
      </c>
      <c r="C18" s="105">
        <v>333.20000000000005</v>
      </c>
      <c r="D18" s="105">
        <v>-4.0999999999999996</v>
      </c>
      <c r="E18" s="106">
        <v>1706.774258566081</v>
      </c>
      <c r="F18" s="106">
        <v>1806.0261104441772</v>
      </c>
      <c r="G18" s="105">
        <v>5.8</v>
      </c>
      <c r="H18" s="105">
        <v>592.80000000000007</v>
      </c>
      <c r="I18" s="105">
        <v>601.70000000000005</v>
      </c>
      <c r="J18" s="105">
        <v>1.5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169</v>
      </c>
      <c r="C19" s="105">
        <v>116.2</v>
      </c>
      <c r="D19" s="105">
        <v>-31.2</v>
      </c>
      <c r="E19" s="106">
        <v>1953.2763313609469</v>
      </c>
      <c r="F19" s="106">
        <v>1761.0989672977626</v>
      </c>
      <c r="G19" s="105">
        <v>-9.8000000000000007</v>
      </c>
      <c r="H19" s="105">
        <v>330.2</v>
      </c>
      <c r="I19" s="105">
        <v>204.6</v>
      </c>
      <c r="J19" s="105">
        <v>-38</v>
      </c>
      <c r="K19" s="51"/>
      <c r="L19" s="2"/>
    </row>
    <row r="20" spans="1:12" s="1" customFormat="1" ht="17.25" customHeight="1" x14ac:dyDescent="0.2">
      <c r="A20" s="111" t="s">
        <v>34</v>
      </c>
      <c r="B20" s="105">
        <v>392.20000000000005</v>
      </c>
      <c r="C20" s="105">
        <v>343.6</v>
      </c>
      <c r="D20" s="105">
        <v>-12.4</v>
      </c>
      <c r="E20" s="106">
        <v>356.21392146863838</v>
      </c>
      <c r="F20" s="106">
        <v>487.5378346915017</v>
      </c>
      <c r="G20" s="105">
        <v>36.9</v>
      </c>
      <c r="H20" s="105">
        <v>139.69999999999999</v>
      </c>
      <c r="I20" s="105">
        <v>167.5</v>
      </c>
      <c r="J20" s="105">
        <v>19.899999999999999</v>
      </c>
      <c r="K20" s="51"/>
      <c r="L20" s="2"/>
    </row>
    <row r="21" spans="1:12" ht="17.25" customHeight="1" x14ac:dyDescent="0.2">
      <c r="A21" s="107" t="s">
        <v>35</v>
      </c>
      <c r="B21" s="105">
        <v>1400.1000000000001</v>
      </c>
      <c r="C21" s="105">
        <v>1372.1</v>
      </c>
      <c r="D21" s="105">
        <v>-2</v>
      </c>
      <c r="E21" s="106">
        <v>952.58081565602458</v>
      </c>
      <c r="F21" s="106">
        <v>954.53421762262224</v>
      </c>
      <c r="G21" s="105">
        <v>0.2</v>
      </c>
      <c r="H21" s="105">
        <v>1333.6000000000001</v>
      </c>
      <c r="I21" s="105">
        <v>1309.9000000000001</v>
      </c>
      <c r="J21" s="105">
        <v>-1.8</v>
      </c>
      <c r="K21" s="26"/>
    </row>
    <row r="22" spans="1:12" s="1" customFormat="1" ht="17.25" customHeight="1" x14ac:dyDescent="0.2">
      <c r="A22" s="111" t="s">
        <v>32</v>
      </c>
      <c r="B22" s="105">
        <v>294.60000000000002</v>
      </c>
      <c r="C22" s="105">
        <v>287.2</v>
      </c>
      <c r="D22" s="105">
        <v>-2.5</v>
      </c>
      <c r="E22" s="106">
        <v>1499.1992532247114</v>
      </c>
      <c r="F22" s="106">
        <v>1590.1814066852367</v>
      </c>
      <c r="G22" s="105">
        <v>6.1</v>
      </c>
      <c r="H22" s="105">
        <v>441.6</v>
      </c>
      <c r="I22" s="105">
        <v>456.9</v>
      </c>
      <c r="J22" s="105">
        <v>3.5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286.60000000000002</v>
      </c>
      <c r="C23" s="105">
        <v>184.50000000000003</v>
      </c>
      <c r="D23" s="105">
        <v>-35.6</v>
      </c>
      <c r="E23" s="106">
        <v>1616.1039776692253</v>
      </c>
      <c r="F23" s="106">
        <v>1434.8628726287261</v>
      </c>
      <c r="G23" s="105">
        <v>-11.2</v>
      </c>
      <c r="H23" s="105">
        <v>463.2</v>
      </c>
      <c r="I23" s="105">
        <v>264.70000000000005</v>
      </c>
      <c r="J23" s="105">
        <v>-42.9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818.90000000000009</v>
      </c>
      <c r="C24" s="105">
        <v>900.4</v>
      </c>
      <c r="D24" s="105">
        <v>10</v>
      </c>
      <c r="E24" s="106">
        <v>523.71339601904992</v>
      </c>
      <c r="F24" s="106">
        <v>653.35861839182587</v>
      </c>
      <c r="G24" s="105">
        <v>24.8</v>
      </c>
      <c r="H24" s="105">
        <v>428.9</v>
      </c>
      <c r="I24" s="105">
        <v>588.4</v>
      </c>
      <c r="J24" s="105">
        <v>37.200000000000003</v>
      </c>
      <c r="K24" s="51"/>
      <c r="L24" s="2"/>
    </row>
    <row r="25" spans="1:12" ht="17.25" customHeight="1" x14ac:dyDescent="0.2">
      <c r="A25" s="107" t="s">
        <v>36</v>
      </c>
      <c r="B25" s="105">
        <v>384.4</v>
      </c>
      <c r="C25" s="105">
        <v>375.3</v>
      </c>
      <c r="D25" s="105">
        <v>-2.4</v>
      </c>
      <c r="E25" s="106">
        <v>1726.4562955254944</v>
      </c>
      <c r="F25" s="106">
        <v>1775.3612043698377</v>
      </c>
      <c r="G25" s="105">
        <v>2.8</v>
      </c>
      <c r="H25" s="105">
        <v>663.7</v>
      </c>
      <c r="I25" s="105">
        <v>666.19999999999993</v>
      </c>
      <c r="J25" s="105">
        <v>0.4</v>
      </c>
      <c r="K25" s="26"/>
    </row>
    <row r="26" spans="1:12" s="1" customFormat="1" ht="17.25" customHeight="1" x14ac:dyDescent="0.2">
      <c r="A26" s="111" t="s">
        <v>32</v>
      </c>
      <c r="B26" s="105">
        <v>326.5</v>
      </c>
      <c r="C26" s="105">
        <v>322.8</v>
      </c>
      <c r="D26" s="105">
        <v>-1.1000000000000001</v>
      </c>
      <c r="E26" s="106">
        <v>1881.1016845329248</v>
      </c>
      <c r="F26" s="106">
        <v>1931.5647459727388</v>
      </c>
      <c r="G26" s="105">
        <v>2.7</v>
      </c>
      <c r="H26" s="105">
        <v>614.20000000000005</v>
      </c>
      <c r="I26" s="105">
        <v>623.40000000000009</v>
      </c>
      <c r="J26" s="105">
        <v>1.5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14.1</v>
      </c>
      <c r="C27" s="105">
        <v>14.299999999999999</v>
      </c>
      <c r="D27" s="105">
        <v>1.4</v>
      </c>
      <c r="E27" s="106">
        <v>1268.1134751773052</v>
      </c>
      <c r="F27" s="106">
        <v>1269.3006993006993</v>
      </c>
      <c r="G27" s="105">
        <v>0.1</v>
      </c>
      <c r="H27" s="105">
        <v>17.900000000000002</v>
      </c>
      <c r="I27" s="105">
        <v>18.2</v>
      </c>
      <c r="J27" s="105">
        <v>1.7</v>
      </c>
      <c r="K27" s="51"/>
      <c r="L27" s="2"/>
    </row>
    <row r="28" spans="1:12" s="1" customFormat="1" ht="17.25" customHeight="1" x14ac:dyDescent="0.2">
      <c r="A28" s="111" t="s">
        <v>34</v>
      </c>
      <c r="B28" s="105">
        <v>43.8</v>
      </c>
      <c r="C28" s="105">
        <v>38.199999999999996</v>
      </c>
      <c r="D28" s="105">
        <v>-12.8</v>
      </c>
      <c r="E28" s="106">
        <v>721.22602739726028</v>
      </c>
      <c r="F28" s="106">
        <v>644.84188481675403</v>
      </c>
      <c r="G28" s="105">
        <v>-10.6</v>
      </c>
      <c r="H28" s="105">
        <v>31.599999999999998</v>
      </c>
      <c r="I28" s="105">
        <v>24.7</v>
      </c>
      <c r="J28" s="105">
        <v>-21.8</v>
      </c>
      <c r="K28" s="51"/>
      <c r="L28" s="2"/>
    </row>
    <row r="29" spans="1:12" s="1" customFormat="1" ht="17.25" customHeight="1" x14ac:dyDescent="0.2">
      <c r="A29" s="104" t="s">
        <v>37</v>
      </c>
      <c r="B29" s="105">
        <v>901.8</v>
      </c>
      <c r="C29" s="105">
        <v>570.20000000000005</v>
      </c>
      <c r="D29" s="105">
        <v>-36.799999999999997</v>
      </c>
      <c r="E29" s="106">
        <v>677.38611665557778</v>
      </c>
      <c r="F29" s="106">
        <v>597.77446509996491</v>
      </c>
      <c r="G29" s="105">
        <v>-11.8</v>
      </c>
      <c r="H29" s="105">
        <v>610.9</v>
      </c>
      <c r="I29" s="105">
        <v>340.90000000000003</v>
      </c>
      <c r="J29" s="105">
        <v>-44.2</v>
      </c>
      <c r="K29" s="51"/>
      <c r="L29" s="2"/>
    </row>
    <row r="30" spans="1:12" ht="17.25" customHeight="1" x14ac:dyDescent="0.2">
      <c r="A30" s="104" t="s">
        <v>38</v>
      </c>
      <c r="B30" s="105">
        <v>61.900000000000006</v>
      </c>
      <c r="C30" s="105">
        <v>77.599999999999994</v>
      </c>
      <c r="D30" s="105">
        <v>25.4</v>
      </c>
      <c r="E30" s="106">
        <v>1622.1825525040385</v>
      </c>
      <c r="F30" s="106">
        <v>1257.2538659793815</v>
      </c>
      <c r="G30" s="105">
        <v>-22.5</v>
      </c>
      <c r="H30" s="105">
        <v>100.4</v>
      </c>
      <c r="I30" s="105">
        <v>97.500000000000014</v>
      </c>
      <c r="J30" s="105">
        <v>-2.9</v>
      </c>
      <c r="K30" s="26"/>
    </row>
    <row r="31" spans="1:12" ht="17.25" customHeight="1" x14ac:dyDescent="0.2">
      <c r="A31" s="104" t="s">
        <v>39</v>
      </c>
      <c r="B31" s="105">
        <v>69.599999999999994</v>
      </c>
      <c r="C31" s="105">
        <v>70.699999999999989</v>
      </c>
      <c r="D31" s="105">
        <v>1.6</v>
      </c>
      <c r="E31" s="106">
        <v>1437.1724137931035</v>
      </c>
      <c r="F31" s="106">
        <v>1712.2998585572846</v>
      </c>
      <c r="G31" s="105">
        <v>19.100000000000001</v>
      </c>
      <c r="H31" s="105">
        <v>100.02</v>
      </c>
      <c r="I31" s="105">
        <v>121.05</v>
      </c>
      <c r="J31" s="105">
        <v>21</v>
      </c>
      <c r="K31" s="26"/>
    </row>
    <row r="32" spans="1:12" ht="17.25" customHeight="1" x14ac:dyDescent="0.2">
      <c r="A32" s="112" t="s">
        <v>40</v>
      </c>
      <c r="B32" s="105">
        <v>21838</v>
      </c>
      <c r="C32" s="105">
        <v>22600.5</v>
      </c>
      <c r="D32" s="105">
        <v>3.5</v>
      </c>
      <c r="E32" s="106">
        <v>6463.8519095155243</v>
      </c>
      <c r="F32" s="106">
        <v>6371.9618105794125</v>
      </c>
      <c r="G32" s="105">
        <v>-1.4</v>
      </c>
      <c r="H32" s="105">
        <v>141157.6</v>
      </c>
      <c r="I32" s="105">
        <v>144009.60000000001</v>
      </c>
      <c r="J32" s="105">
        <v>2</v>
      </c>
      <c r="K32" s="26"/>
    </row>
    <row r="33" spans="1:14" ht="17.25" customHeight="1" x14ac:dyDescent="0.2">
      <c r="A33" s="107" t="s">
        <v>41</v>
      </c>
      <c r="B33" s="105">
        <v>3772.6000000000004</v>
      </c>
      <c r="C33" s="105">
        <v>4100.7</v>
      </c>
      <c r="D33" s="105">
        <v>8.6999999999999993</v>
      </c>
      <c r="E33" s="106">
        <v>6609.6549594444132</v>
      </c>
      <c r="F33" s="106">
        <v>7190.9112102811723</v>
      </c>
      <c r="G33" s="105">
        <v>8.8000000000000007</v>
      </c>
      <c r="H33" s="105">
        <v>24935.8</v>
      </c>
      <c r="I33" s="105">
        <v>29487.8</v>
      </c>
      <c r="J33" s="105">
        <v>18.3</v>
      </c>
      <c r="K33" s="26"/>
    </row>
    <row r="34" spans="1:14" ht="17.25" customHeight="1" x14ac:dyDescent="0.2">
      <c r="A34" s="107" t="s">
        <v>42</v>
      </c>
      <c r="B34" s="105">
        <v>17430.3</v>
      </c>
      <c r="C34" s="105">
        <v>17824.900000000001</v>
      </c>
      <c r="D34" s="105">
        <v>2.2999999999999998</v>
      </c>
      <c r="E34" s="106">
        <v>6496.0670900672967</v>
      </c>
      <c r="F34" s="106">
        <v>6290.6858944510204</v>
      </c>
      <c r="G34" s="105">
        <v>-3.2</v>
      </c>
      <c r="H34" s="105">
        <v>113228.4</v>
      </c>
      <c r="I34" s="105">
        <v>112130.8</v>
      </c>
      <c r="J34" s="105">
        <v>-1</v>
      </c>
      <c r="K34" s="26"/>
    </row>
    <row r="35" spans="1:14" ht="17.25" customHeight="1" x14ac:dyDescent="0.2">
      <c r="A35" s="107" t="s">
        <v>43</v>
      </c>
      <c r="B35" s="105">
        <v>635.1</v>
      </c>
      <c r="C35" s="105">
        <v>674.9</v>
      </c>
      <c r="D35" s="105">
        <v>6.3</v>
      </c>
      <c r="E35" s="106">
        <v>4713.6128168792311</v>
      </c>
      <c r="F35" s="106">
        <v>3542.6082382575196</v>
      </c>
      <c r="G35" s="105">
        <v>-24.8</v>
      </c>
      <c r="H35" s="105">
        <v>2993.6</v>
      </c>
      <c r="I35" s="105">
        <v>2390.9</v>
      </c>
      <c r="J35" s="105">
        <v>-20.100000000000001</v>
      </c>
      <c r="K35" s="26"/>
    </row>
    <row r="36" spans="1:14" ht="17.25" customHeight="1" x14ac:dyDescent="0.2">
      <c r="A36" s="104" t="s">
        <v>44</v>
      </c>
      <c r="B36" s="105">
        <v>47346.1</v>
      </c>
      <c r="C36" s="105">
        <v>48608.6</v>
      </c>
      <c r="D36" s="105">
        <v>2.7</v>
      </c>
      <c r="E36" s="106">
        <v>3621.8458880456883</v>
      </c>
      <c r="F36" s="106">
        <v>3711.4147229091154</v>
      </c>
      <c r="G36" s="105">
        <v>2.5</v>
      </c>
      <c r="H36" s="105">
        <v>171480.5</v>
      </c>
      <c r="I36" s="105">
        <v>180406.6</v>
      </c>
      <c r="J36" s="105">
        <v>5.2</v>
      </c>
      <c r="K36" s="26"/>
    </row>
    <row r="37" spans="1:14" ht="17.25" customHeight="1" x14ac:dyDescent="0.2">
      <c r="A37" s="104" t="s">
        <v>45</v>
      </c>
      <c r="B37" s="105">
        <v>1632</v>
      </c>
      <c r="C37" s="105">
        <v>2169</v>
      </c>
      <c r="D37" s="105">
        <v>32.9</v>
      </c>
      <c r="E37" s="106">
        <v>3739.1359068627457</v>
      </c>
      <c r="F37" s="106">
        <v>3387.7204702627937</v>
      </c>
      <c r="G37" s="105">
        <v>-9.4</v>
      </c>
      <c r="H37" s="105">
        <v>6102.2000000000007</v>
      </c>
      <c r="I37" s="105">
        <v>7348</v>
      </c>
      <c r="J37" s="105">
        <v>20.399999999999999</v>
      </c>
      <c r="K37" s="26"/>
    </row>
    <row r="38" spans="1:14" ht="17.25" customHeight="1" x14ac:dyDescent="0.2">
      <c r="A38" s="113" t="s">
        <v>46</v>
      </c>
      <c r="B38" s="114">
        <v>78672.3</v>
      </c>
      <c r="C38" s="114">
        <v>80454</v>
      </c>
      <c r="D38" s="114">
        <v>2.2999999999999998</v>
      </c>
      <c r="E38" s="115">
        <v>4351</v>
      </c>
      <c r="F38" s="115">
        <v>4394</v>
      </c>
      <c r="G38" s="114">
        <v>1</v>
      </c>
      <c r="H38" s="114">
        <v>342318.82</v>
      </c>
      <c r="I38" s="114">
        <v>353505.75</v>
      </c>
      <c r="J38" s="116">
        <v>3.3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70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545.79999999999995</v>
      </c>
      <c r="C42" s="105">
        <v>531.6</v>
      </c>
      <c r="D42" s="105">
        <v>-2.6</v>
      </c>
      <c r="E42" s="106">
        <v>2368</v>
      </c>
      <c r="F42" s="106">
        <v>2288</v>
      </c>
      <c r="G42" s="105">
        <v>-3.4</v>
      </c>
      <c r="H42" s="105">
        <v>1292.3000000000002</v>
      </c>
      <c r="I42" s="105">
        <v>1216.2</v>
      </c>
      <c r="J42" s="105">
        <v>-5.9</v>
      </c>
      <c r="K42" s="26"/>
    </row>
    <row r="43" spans="1:14" ht="17.25" customHeight="1" x14ac:dyDescent="0.2">
      <c r="A43" s="104" t="s">
        <v>49</v>
      </c>
      <c r="B43" s="105">
        <v>211.9</v>
      </c>
      <c r="C43" s="105">
        <v>370.7</v>
      </c>
      <c r="D43" s="105">
        <v>74.900000000000006</v>
      </c>
      <c r="E43" s="106">
        <v>1627</v>
      </c>
      <c r="F43" s="106">
        <v>1620</v>
      </c>
      <c r="G43" s="105">
        <v>-0.4</v>
      </c>
      <c r="H43" s="105">
        <v>344.8</v>
      </c>
      <c r="I43" s="105">
        <v>600.6</v>
      </c>
      <c r="J43" s="105">
        <v>74.2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2.2999999999999998</v>
      </c>
      <c r="D44" s="105">
        <v>9.5</v>
      </c>
      <c r="E44" s="106">
        <v>2381</v>
      </c>
      <c r="F44" s="106">
        <v>2261</v>
      </c>
      <c r="G44" s="105">
        <v>-5</v>
      </c>
      <c r="H44" s="105">
        <v>5</v>
      </c>
      <c r="I44" s="105">
        <v>5.2</v>
      </c>
      <c r="J44" s="105">
        <v>4</v>
      </c>
      <c r="K44" s="26"/>
    </row>
    <row r="45" spans="1:14" ht="17.25" customHeight="1" x14ac:dyDescent="0.2">
      <c r="A45" s="104" t="s">
        <v>51</v>
      </c>
      <c r="B45" s="105">
        <v>139.19999999999999</v>
      </c>
      <c r="C45" s="105">
        <v>152.9</v>
      </c>
      <c r="D45" s="105">
        <v>9.8000000000000007</v>
      </c>
      <c r="E45" s="106">
        <v>4358</v>
      </c>
      <c r="F45" s="106">
        <v>4022</v>
      </c>
      <c r="G45" s="105">
        <v>-7.7</v>
      </c>
      <c r="H45" s="105">
        <v>606.6</v>
      </c>
      <c r="I45" s="105">
        <v>614.9</v>
      </c>
      <c r="J45" s="105">
        <v>1.4</v>
      </c>
      <c r="K45" s="26"/>
    </row>
    <row r="46" spans="1:14" ht="17.25" customHeight="1" x14ac:dyDescent="0.2">
      <c r="A46" s="104" t="s">
        <v>52</v>
      </c>
      <c r="B46" s="105">
        <v>2445.9</v>
      </c>
      <c r="C46" s="105">
        <v>1927.1</v>
      </c>
      <c r="D46" s="105">
        <v>-21.2</v>
      </c>
      <c r="E46" s="106">
        <v>3219</v>
      </c>
      <c r="F46" s="106">
        <v>2978</v>
      </c>
      <c r="G46" s="105">
        <v>-7.5</v>
      </c>
      <c r="H46" s="105">
        <v>7873.4</v>
      </c>
      <c r="I46" s="105">
        <v>5739.7</v>
      </c>
      <c r="J46" s="105">
        <v>-27.1</v>
      </c>
      <c r="K46" s="26"/>
    </row>
    <row r="47" spans="1:14" ht="17.25" customHeight="1" x14ac:dyDescent="0.2">
      <c r="A47" s="104" t="s">
        <v>53</v>
      </c>
      <c r="B47" s="105">
        <v>11.4</v>
      </c>
      <c r="C47" s="105">
        <v>11.9</v>
      </c>
      <c r="D47" s="105">
        <v>4.4000000000000004</v>
      </c>
      <c r="E47" s="106">
        <v>3211</v>
      </c>
      <c r="F47" s="106">
        <v>2950</v>
      </c>
      <c r="G47" s="105">
        <v>-8.1</v>
      </c>
      <c r="H47" s="105">
        <v>36.6</v>
      </c>
      <c r="I47" s="105">
        <v>35.1</v>
      </c>
      <c r="J47" s="105">
        <v>-4.0999999999999996</v>
      </c>
      <c r="K47" s="26"/>
    </row>
    <row r="48" spans="1:14" ht="17.25" customHeight="1" x14ac:dyDescent="0.2">
      <c r="A48" s="117" t="s">
        <v>46</v>
      </c>
      <c r="B48" s="118">
        <v>3356.3</v>
      </c>
      <c r="C48" s="118">
        <v>2996.5</v>
      </c>
      <c r="D48" s="118">
        <v>-10.7</v>
      </c>
      <c r="E48" s="119">
        <v>3027</v>
      </c>
      <c r="F48" s="119">
        <v>2740</v>
      </c>
      <c r="G48" s="118">
        <v>-9.5</v>
      </c>
      <c r="H48" s="118">
        <v>10158.700000000001</v>
      </c>
      <c r="I48" s="118">
        <v>8211.7000000000007</v>
      </c>
      <c r="J48" s="120">
        <v>-19.2</v>
      </c>
      <c r="K48" s="26"/>
    </row>
    <row r="49" spans="1:11" ht="17.25" customHeight="1" x14ac:dyDescent="0.2">
      <c r="A49" s="121" t="s">
        <v>112</v>
      </c>
      <c r="B49" s="122">
        <v>82028.600000000006</v>
      </c>
      <c r="C49" s="122">
        <v>83450.5</v>
      </c>
      <c r="D49" s="123">
        <v>1.7</v>
      </c>
      <c r="E49" s="124">
        <v>4297</v>
      </c>
      <c r="F49" s="124">
        <v>4335</v>
      </c>
      <c r="G49" s="123">
        <v>0.9</v>
      </c>
      <c r="H49" s="122">
        <v>352477.52</v>
      </c>
      <c r="I49" s="122">
        <v>361717.45</v>
      </c>
      <c r="J49" s="125">
        <v>2.6</v>
      </c>
      <c r="K49" s="26"/>
    </row>
    <row r="50" spans="1:11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1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1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1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1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1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1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1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1" ht="19.5" hidden="1" customHeight="1" x14ac:dyDescent="0.2">
      <c r="A60" s="26"/>
    </row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R53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5" style="1" customWidth="1"/>
    <col min="12" max="226" width="11.42578125" style="1" customWidth="1"/>
  </cols>
  <sheetData>
    <row r="1" spans="1:13" ht="39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3" ht="15.75" customHeight="1" x14ac:dyDescent="0.2"/>
    <row r="3" spans="1:13" ht="15.75" customHeight="1" x14ac:dyDescent="0.2"/>
    <row r="4" spans="1:13" ht="15.75" customHeight="1" x14ac:dyDescent="0.2"/>
    <row r="5" spans="1:13" ht="20.25" customHeight="1" x14ac:dyDescent="0.2">
      <c r="A5" s="434" t="s">
        <v>61</v>
      </c>
      <c r="B5" s="437" t="s">
        <v>62</v>
      </c>
      <c r="C5" s="437"/>
      <c r="D5" s="437"/>
      <c r="E5" s="438" t="s">
        <v>63</v>
      </c>
      <c r="F5" s="438"/>
      <c r="G5" s="438"/>
      <c r="H5" s="437" t="s">
        <v>64</v>
      </c>
      <c r="I5" s="437"/>
      <c r="J5" s="437"/>
    </row>
    <row r="6" spans="1:13" ht="20.25" customHeight="1" x14ac:dyDescent="0.2">
      <c r="A6" s="435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13" ht="20.25" customHeight="1" x14ac:dyDescent="0.2">
      <c r="A7" s="436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L7" s="401"/>
      <c r="M7" s="404"/>
    </row>
    <row r="8" spans="1:13" ht="15.75" customHeight="1" x14ac:dyDescent="0.2">
      <c r="A8" s="139" t="s">
        <v>75</v>
      </c>
      <c r="B8" s="140">
        <v>23.5</v>
      </c>
      <c r="C8" s="140">
        <v>17.099999999999998</v>
      </c>
      <c r="D8" s="140">
        <v>-27.2</v>
      </c>
      <c r="E8" s="141">
        <v>4407.0085106382976</v>
      </c>
      <c r="F8" s="141">
        <v>4465.5087719298253</v>
      </c>
      <c r="G8" s="140">
        <v>1.3</v>
      </c>
      <c r="H8" s="140">
        <v>103.6</v>
      </c>
      <c r="I8" s="140">
        <v>76.400000000000006</v>
      </c>
      <c r="J8" s="140">
        <v>-26.3</v>
      </c>
      <c r="L8" s="403"/>
      <c r="M8" s="404"/>
    </row>
    <row r="9" spans="1:13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L9" s="402"/>
      <c r="M9" s="404"/>
    </row>
    <row r="10" spans="1:13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4500</v>
      </c>
      <c r="F10" s="144">
        <v>4500</v>
      </c>
      <c r="G10" s="145">
        <v>0</v>
      </c>
      <c r="H10" s="143">
        <v>39.6</v>
      </c>
      <c r="I10" s="143">
        <v>29.7</v>
      </c>
      <c r="J10" s="143">
        <v>-25</v>
      </c>
      <c r="L10" s="402"/>
      <c r="M10" s="404"/>
    </row>
    <row r="11" spans="1:13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L11" s="402"/>
      <c r="M11" s="404"/>
    </row>
    <row r="12" spans="1:13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L12" s="402"/>
      <c r="M12" s="404"/>
    </row>
    <row r="13" spans="1:13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L13" s="402"/>
      <c r="M13" s="404"/>
    </row>
    <row r="14" spans="1:13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3796</v>
      </c>
      <c r="F14" s="144">
        <v>4200</v>
      </c>
      <c r="G14" s="145">
        <v>10.6</v>
      </c>
      <c r="H14" s="143">
        <v>0.8</v>
      </c>
      <c r="I14" s="143">
        <v>1.3</v>
      </c>
      <c r="J14" s="143">
        <v>62.5</v>
      </c>
      <c r="L14" s="402"/>
      <c r="M14" s="404"/>
    </row>
    <row r="15" spans="1:13" ht="15.75" customHeight="1" x14ac:dyDescent="0.2">
      <c r="A15" s="142" t="s">
        <v>82</v>
      </c>
      <c r="B15" s="143">
        <v>14.5</v>
      </c>
      <c r="C15" s="143">
        <v>10.199999999999999</v>
      </c>
      <c r="D15" s="143">
        <v>-29.7</v>
      </c>
      <c r="E15" s="144">
        <v>4359</v>
      </c>
      <c r="F15" s="144">
        <v>4451</v>
      </c>
      <c r="G15" s="145">
        <v>2.1</v>
      </c>
      <c r="H15" s="143">
        <v>63.2</v>
      </c>
      <c r="I15" s="143">
        <v>45.4</v>
      </c>
      <c r="J15" s="143">
        <v>-28.2</v>
      </c>
      <c r="L15" s="402"/>
      <c r="M15" s="404"/>
    </row>
    <row r="16" spans="1:13" ht="15.75" customHeight="1" x14ac:dyDescent="0.2">
      <c r="A16" s="146" t="s">
        <v>83</v>
      </c>
      <c r="B16" s="147">
        <v>483.90000000000003</v>
      </c>
      <c r="C16" s="147">
        <v>504.70000000000005</v>
      </c>
      <c r="D16" s="147">
        <v>4.3</v>
      </c>
      <c r="E16" s="148">
        <v>4790.1868154577387</v>
      </c>
      <c r="F16" s="148">
        <v>5148.6905092133939</v>
      </c>
      <c r="G16" s="147">
        <v>7.5</v>
      </c>
      <c r="H16" s="147">
        <v>2318</v>
      </c>
      <c r="I16" s="147">
        <v>2598.5</v>
      </c>
      <c r="J16" s="147">
        <v>12.1</v>
      </c>
      <c r="L16" s="403"/>
      <c r="M16" s="404"/>
    </row>
    <row r="17" spans="1:21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4395</v>
      </c>
      <c r="F17" s="144">
        <v>4809</v>
      </c>
      <c r="G17" s="145">
        <v>9.4</v>
      </c>
      <c r="H17" s="143">
        <v>145</v>
      </c>
      <c r="I17" s="143">
        <v>147.19999999999999</v>
      </c>
      <c r="J17" s="143">
        <v>1.5</v>
      </c>
      <c r="L17" s="402"/>
      <c r="M17" s="404"/>
    </row>
    <row r="18" spans="1:21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4581</v>
      </c>
      <c r="F18" s="144">
        <v>5196</v>
      </c>
      <c r="G18" s="145">
        <v>13.4</v>
      </c>
      <c r="H18" s="143">
        <v>154.4</v>
      </c>
      <c r="I18" s="143">
        <v>225.5</v>
      </c>
      <c r="J18" s="143">
        <v>46</v>
      </c>
      <c r="L18" s="402"/>
      <c r="M18" s="404"/>
    </row>
    <row r="19" spans="1:21" ht="15.75" customHeight="1" x14ac:dyDescent="0.2">
      <c r="A19" s="142" t="s">
        <v>86</v>
      </c>
      <c r="B19" s="143">
        <v>2.4</v>
      </c>
      <c r="C19" s="143">
        <v>4</v>
      </c>
      <c r="D19" s="143">
        <v>66.7</v>
      </c>
      <c r="E19" s="144">
        <v>1790</v>
      </c>
      <c r="F19" s="144">
        <v>1513</v>
      </c>
      <c r="G19" s="145">
        <v>-15.5</v>
      </c>
      <c r="H19" s="143">
        <v>4.3</v>
      </c>
      <c r="I19" s="143">
        <v>6.1</v>
      </c>
      <c r="J19" s="143">
        <v>41.9</v>
      </c>
      <c r="L19" s="402"/>
      <c r="M19" s="404"/>
    </row>
    <row r="20" spans="1:21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3813</v>
      </c>
      <c r="F20" s="144">
        <v>1537</v>
      </c>
      <c r="G20" s="145">
        <v>-15.4</v>
      </c>
      <c r="H20" s="143">
        <v>2.2000000000000002</v>
      </c>
      <c r="I20" s="143">
        <v>1.8</v>
      </c>
      <c r="J20" s="143">
        <v>-18.2</v>
      </c>
      <c r="L20" s="402"/>
      <c r="M20" s="404"/>
    </row>
    <row r="21" spans="1:21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569</v>
      </c>
      <c r="F21" s="144">
        <v>598</v>
      </c>
      <c r="G21" s="145">
        <v>5.0999999999999996</v>
      </c>
      <c r="H21" s="143">
        <v>0.3</v>
      </c>
      <c r="I21" s="143">
        <v>0.2</v>
      </c>
      <c r="J21" s="143">
        <v>-33.299999999999997</v>
      </c>
      <c r="L21" s="402"/>
      <c r="M21" s="404"/>
      <c r="N21" s="404"/>
      <c r="O21" s="404"/>
      <c r="P21" s="404"/>
      <c r="Q21" s="404"/>
      <c r="R21" s="404"/>
      <c r="S21" s="404"/>
      <c r="T21" s="404"/>
      <c r="U21" s="404"/>
    </row>
    <row r="22" spans="1:21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L22" s="402"/>
      <c r="M22" s="404"/>
      <c r="N22" s="404"/>
      <c r="O22" s="404"/>
      <c r="P22" s="404"/>
      <c r="Q22" s="404"/>
      <c r="R22" s="404"/>
      <c r="S22" s="404"/>
      <c r="T22" s="404"/>
      <c r="U22" s="404"/>
    </row>
    <row r="23" spans="1:21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L23" s="402"/>
      <c r="M23" s="404"/>
      <c r="N23" s="404"/>
      <c r="O23" s="404"/>
      <c r="P23" s="404"/>
      <c r="Q23" s="404"/>
      <c r="R23" s="404"/>
      <c r="S23" s="404"/>
      <c r="T23" s="404"/>
      <c r="U23" s="404"/>
    </row>
    <row r="24" spans="1:21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L24" s="402"/>
      <c r="M24" s="404"/>
      <c r="N24" s="404"/>
      <c r="O24" s="404"/>
      <c r="P24" s="404"/>
      <c r="Q24" s="404"/>
      <c r="R24" s="404"/>
      <c r="S24" s="404"/>
      <c r="T24" s="404"/>
      <c r="U24" s="404"/>
    </row>
    <row r="25" spans="1:21" ht="15.75" customHeight="1" x14ac:dyDescent="0.2">
      <c r="A25" s="142" t="s">
        <v>92</v>
      </c>
      <c r="B25" s="143">
        <v>413.1</v>
      </c>
      <c r="C25" s="143">
        <v>425.1</v>
      </c>
      <c r="D25" s="143">
        <v>12.5</v>
      </c>
      <c r="E25" s="144">
        <v>4870</v>
      </c>
      <c r="F25" s="144">
        <v>5217</v>
      </c>
      <c r="G25" s="145">
        <v>7.1</v>
      </c>
      <c r="H25" s="143">
        <v>2011.8</v>
      </c>
      <c r="I25" s="143">
        <v>2217.6999999999998</v>
      </c>
      <c r="J25" s="143">
        <v>10.199999999999999</v>
      </c>
      <c r="L25" s="402"/>
      <c r="M25" s="404"/>
      <c r="N25" s="404"/>
      <c r="O25" s="404"/>
      <c r="P25" s="404"/>
      <c r="Q25" s="404"/>
      <c r="R25" s="404"/>
      <c r="S25" s="404"/>
      <c r="T25" s="404"/>
      <c r="U25" s="404"/>
    </row>
    <row r="26" spans="1:21" ht="15.75" customHeight="1" x14ac:dyDescent="0.2">
      <c r="A26" s="146" t="s">
        <v>93</v>
      </c>
      <c r="B26" s="147">
        <v>1524</v>
      </c>
      <c r="C26" s="147">
        <v>1447.5</v>
      </c>
      <c r="D26" s="147">
        <v>-5</v>
      </c>
      <c r="E26" s="148">
        <v>4741.5417322834646</v>
      </c>
      <c r="F26" s="148">
        <v>4913.7869430051815</v>
      </c>
      <c r="G26" s="147">
        <v>3.6</v>
      </c>
      <c r="H26" s="147">
        <v>7226.1</v>
      </c>
      <c r="I26" s="147">
        <v>7112.7000000000007</v>
      </c>
      <c r="J26" s="147">
        <v>-1.6</v>
      </c>
      <c r="L26" s="403"/>
      <c r="M26" s="404"/>
      <c r="N26" s="404"/>
      <c r="O26" s="404"/>
      <c r="P26" s="404"/>
      <c r="Q26" s="404"/>
      <c r="R26" s="404"/>
      <c r="S26" s="404"/>
      <c r="T26" s="404"/>
      <c r="U26" s="404"/>
    </row>
    <row r="27" spans="1:21" ht="15.75" customHeight="1" x14ac:dyDescent="0.2">
      <c r="A27" s="142" t="s">
        <v>94</v>
      </c>
      <c r="B27" s="143">
        <v>1462</v>
      </c>
      <c r="C27" s="143">
        <v>1386</v>
      </c>
      <c r="D27" s="143">
        <v>-5.2</v>
      </c>
      <c r="E27" s="144">
        <v>4735</v>
      </c>
      <c r="F27" s="144">
        <v>4908</v>
      </c>
      <c r="G27" s="145">
        <v>3.7</v>
      </c>
      <c r="H27" s="143">
        <v>6922.6</v>
      </c>
      <c r="I27" s="143">
        <v>6802.5</v>
      </c>
      <c r="J27" s="143">
        <v>-1.7</v>
      </c>
      <c r="L27" s="402"/>
      <c r="M27" s="404"/>
      <c r="N27" s="404"/>
      <c r="O27" s="404"/>
      <c r="P27" s="404"/>
      <c r="Q27" s="404"/>
      <c r="R27" s="404"/>
      <c r="S27" s="404"/>
      <c r="T27" s="404"/>
      <c r="U27" s="404"/>
    </row>
    <row r="28" spans="1:21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5320</v>
      </c>
      <c r="F28" s="144">
        <v>5050</v>
      </c>
      <c r="G28" s="145">
        <v>-5.0999999999999996</v>
      </c>
      <c r="H28" s="143">
        <v>168.6</v>
      </c>
      <c r="I28" s="143">
        <v>160.6</v>
      </c>
      <c r="J28" s="143">
        <v>-4.7</v>
      </c>
      <c r="L28" s="402"/>
      <c r="M28" s="404"/>
      <c r="N28" s="404"/>
      <c r="O28" s="404"/>
      <c r="P28" s="404"/>
      <c r="Q28" s="404"/>
      <c r="R28" s="404"/>
      <c r="S28" s="404"/>
      <c r="T28" s="404"/>
      <c r="U28" s="404"/>
    </row>
    <row r="29" spans="1:21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4452</v>
      </c>
      <c r="F29" s="144">
        <v>5038</v>
      </c>
      <c r="G29" s="145">
        <v>13.2</v>
      </c>
      <c r="H29" s="143">
        <v>134.9</v>
      </c>
      <c r="I29" s="143">
        <v>149.6</v>
      </c>
      <c r="J29" s="143">
        <v>10.9</v>
      </c>
      <c r="L29" s="402"/>
      <c r="M29" s="404"/>
      <c r="N29" s="404"/>
      <c r="O29" s="404"/>
      <c r="P29" s="404"/>
      <c r="Q29" s="404"/>
      <c r="R29" s="404"/>
      <c r="S29" s="404"/>
      <c r="T29" s="404"/>
      <c r="U29" s="404"/>
    </row>
    <row r="30" spans="1:21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L30" s="402"/>
      <c r="M30" s="404"/>
      <c r="N30" s="404"/>
      <c r="O30" s="404"/>
      <c r="P30" s="404"/>
      <c r="Q30" s="404"/>
      <c r="R30" s="404"/>
      <c r="S30" s="404"/>
      <c r="T30" s="404"/>
      <c r="U30" s="404"/>
    </row>
    <row r="31" spans="1:21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4161.5019011406839</v>
      </c>
      <c r="F31" s="148">
        <v>4738.894736842105</v>
      </c>
      <c r="G31" s="147">
        <v>13.9</v>
      </c>
      <c r="H31" s="147">
        <v>218.9</v>
      </c>
      <c r="I31" s="147">
        <v>225.1</v>
      </c>
      <c r="J31" s="147">
        <v>2.8</v>
      </c>
      <c r="L31" s="403"/>
      <c r="M31" s="404"/>
      <c r="N31" s="404"/>
      <c r="O31" s="404"/>
      <c r="P31" s="404"/>
      <c r="Q31" s="404"/>
      <c r="R31" s="404"/>
      <c r="S31" s="404"/>
      <c r="T31" s="404"/>
      <c r="U31" s="404"/>
    </row>
    <row r="32" spans="1:21" ht="15.75" hidden="1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4200</v>
      </c>
      <c r="F32" s="144">
        <v>4890</v>
      </c>
      <c r="G32" s="145">
        <v>16.399999999999999</v>
      </c>
      <c r="H32" s="143">
        <v>189.4</v>
      </c>
      <c r="I32" s="143">
        <v>195.6</v>
      </c>
      <c r="J32" s="143">
        <v>3.3</v>
      </c>
      <c r="L32" s="402"/>
      <c r="M32" s="404"/>
      <c r="N32" s="404"/>
      <c r="O32" s="404"/>
      <c r="P32" s="404"/>
      <c r="Q32" s="404"/>
      <c r="R32" s="404"/>
      <c r="S32" s="404"/>
      <c r="T32" s="404"/>
      <c r="U32" s="404"/>
    </row>
    <row r="33" spans="1:21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L33" s="402"/>
      <c r="M33" s="404"/>
      <c r="N33" s="404"/>
      <c r="O33" s="404"/>
      <c r="P33" s="404"/>
      <c r="Q33" s="404"/>
      <c r="R33" s="404"/>
      <c r="S33" s="404"/>
      <c r="T33" s="404"/>
      <c r="U33" s="404"/>
    </row>
    <row r="34" spans="1:21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L34" s="402"/>
      <c r="M34" s="404"/>
      <c r="N34" s="404"/>
      <c r="O34" s="404"/>
      <c r="P34" s="404"/>
      <c r="Q34" s="404"/>
      <c r="R34" s="404"/>
      <c r="S34" s="404"/>
      <c r="T34" s="404"/>
      <c r="U34" s="404"/>
    </row>
    <row r="35" spans="1:21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3930</v>
      </c>
      <c r="F35" s="144">
        <v>3933</v>
      </c>
      <c r="G35" s="145">
        <v>0.1</v>
      </c>
      <c r="H35" s="143">
        <v>29.5</v>
      </c>
      <c r="I35" s="143">
        <v>29.5</v>
      </c>
      <c r="J35" s="143">
        <v>0</v>
      </c>
      <c r="L35" s="402"/>
      <c r="M35" s="404"/>
      <c r="N35" s="404"/>
      <c r="O35" s="404"/>
      <c r="P35" s="404"/>
      <c r="Q35" s="404"/>
      <c r="R35" s="404"/>
      <c r="S35" s="404"/>
      <c r="T35" s="404"/>
      <c r="U35" s="404"/>
    </row>
    <row r="36" spans="1:21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3000</v>
      </c>
      <c r="F36" s="148">
        <v>3300</v>
      </c>
      <c r="G36" s="147">
        <v>10</v>
      </c>
      <c r="H36" s="147">
        <v>4.8</v>
      </c>
      <c r="I36" s="147">
        <v>5.3</v>
      </c>
      <c r="J36" s="147">
        <v>10.4</v>
      </c>
      <c r="L36" s="403"/>
      <c r="M36" s="404"/>
      <c r="N36" s="404"/>
      <c r="O36" s="404"/>
      <c r="P36" s="404"/>
      <c r="Q36" s="404"/>
      <c r="R36" s="404"/>
      <c r="S36" s="404"/>
      <c r="T36" s="404"/>
      <c r="U36" s="404"/>
    </row>
    <row r="37" spans="1:21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3000</v>
      </c>
      <c r="F37" s="144">
        <v>3300</v>
      </c>
      <c r="G37" s="145">
        <v>10</v>
      </c>
      <c r="H37" s="143">
        <v>4.8</v>
      </c>
      <c r="I37" s="143">
        <v>5.3</v>
      </c>
      <c r="J37" s="143">
        <v>10.4</v>
      </c>
      <c r="L37" s="402"/>
      <c r="M37" s="404"/>
      <c r="N37" s="404"/>
      <c r="O37" s="404"/>
      <c r="P37" s="404"/>
      <c r="Q37" s="404"/>
      <c r="R37" s="404"/>
      <c r="S37" s="404"/>
      <c r="T37" s="404"/>
      <c r="U37" s="404"/>
    </row>
    <row r="38" spans="1:21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L38" s="402"/>
      <c r="M38" s="404"/>
    </row>
    <row r="39" spans="1:21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L39" s="402"/>
      <c r="M39" s="404"/>
    </row>
    <row r="40" spans="1:21" ht="15.75" customHeight="1" x14ac:dyDescent="0.2">
      <c r="A40" s="146" t="s">
        <v>107</v>
      </c>
      <c r="B40" s="147">
        <v>507.40000000000003</v>
      </c>
      <c r="C40" s="147">
        <v>521.80000000000007</v>
      </c>
      <c r="D40" s="147">
        <v>2.8</v>
      </c>
      <c r="E40" s="148">
        <v>4772.4400867165941</v>
      </c>
      <c r="F40" s="148">
        <v>5126.3018397853584</v>
      </c>
      <c r="G40" s="147">
        <v>7.4</v>
      </c>
      <c r="H40" s="147">
        <v>2421.6</v>
      </c>
      <c r="I40" s="147">
        <v>2674.9</v>
      </c>
      <c r="J40" s="147">
        <v>10.5</v>
      </c>
      <c r="L40" s="403"/>
      <c r="M40" s="404"/>
    </row>
    <row r="41" spans="1:21" ht="15.75" customHeight="1" x14ac:dyDescent="0.2">
      <c r="A41" s="146" t="s">
        <v>108</v>
      </c>
      <c r="B41" s="147">
        <v>1578.1999999999998</v>
      </c>
      <c r="C41" s="147">
        <v>1496.6</v>
      </c>
      <c r="D41" s="147">
        <v>-5.2</v>
      </c>
      <c r="E41" s="148">
        <v>4720.4439234571037</v>
      </c>
      <c r="F41" s="148">
        <v>4906.5108245356141</v>
      </c>
      <c r="G41" s="147">
        <v>3.9</v>
      </c>
      <c r="H41" s="147">
        <v>7449.8</v>
      </c>
      <c r="I41" s="147">
        <v>7343.1000000000013</v>
      </c>
      <c r="J41" s="147">
        <v>-1.4</v>
      </c>
      <c r="L41" s="403"/>
      <c r="M41" s="404"/>
    </row>
    <row r="42" spans="1:21" ht="15.75" customHeight="1" x14ac:dyDescent="0.2">
      <c r="A42" s="149" t="s">
        <v>58</v>
      </c>
      <c r="B42" s="150">
        <v>2085.6</v>
      </c>
      <c r="C42" s="150">
        <v>2018.4</v>
      </c>
      <c r="D42" s="150">
        <v>-3.2</v>
      </c>
      <c r="E42" s="151">
        <v>4733.0939298043722</v>
      </c>
      <c r="F42" s="151">
        <v>4963.33154974237</v>
      </c>
      <c r="G42" s="150">
        <v>4.9000000000000004</v>
      </c>
      <c r="H42" s="150">
        <v>9871.4</v>
      </c>
      <c r="I42" s="150">
        <v>10018</v>
      </c>
      <c r="J42" s="150">
        <v>1.5</v>
      </c>
      <c r="L42" s="403"/>
      <c r="M42" s="404"/>
    </row>
    <row r="43" spans="1:21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L43" s="400"/>
    </row>
    <row r="44" spans="1:21" ht="15.75" customHeight="1" x14ac:dyDescent="0.2">
      <c r="A44" s="25" t="s">
        <v>212</v>
      </c>
      <c r="B44" s="51"/>
      <c r="C44" s="51"/>
      <c r="D44" s="51"/>
      <c r="E44" s="51"/>
      <c r="F44" s="51"/>
      <c r="G44" s="51"/>
      <c r="H44" s="51"/>
      <c r="I44" s="51"/>
      <c r="J44" s="51"/>
      <c r="L44" s="400"/>
    </row>
    <row r="45" spans="1:21" ht="20.25" customHeight="1" x14ac:dyDescent="0.2">
      <c r="A45" s="51" t="s">
        <v>117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21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21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21" ht="20.25" customHeight="1" x14ac:dyDescent="0.2">
      <c r="A48" s="51"/>
      <c r="B48" s="51"/>
      <c r="C48" s="51"/>
    </row>
    <row r="49" spans="1:3" ht="20.25" customHeight="1" x14ac:dyDescent="0.2">
      <c r="A49" s="51"/>
      <c r="B49" s="51"/>
      <c r="C49" s="51"/>
    </row>
    <row r="50" spans="1:3" ht="20.25" customHeight="1" x14ac:dyDescent="0.2">
      <c r="A50" s="51"/>
      <c r="B50" s="51"/>
      <c r="C50" s="51"/>
    </row>
    <row r="51" spans="1:3" ht="20.25" customHeight="1" x14ac:dyDescent="0.2">
      <c r="A51" s="51"/>
      <c r="B51" s="51"/>
      <c r="C51" s="51"/>
    </row>
    <row r="52" spans="1:3" ht="20.25" customHeight="1" x14ac:dyDescent="0.2">
      <c r="A52" s="51"/>
      <c r="B52" s="51"/>
      <c r="C52" s="51"/>
    </row>
    <row r="53" spans="1:3" ht="20.25" customHeight="1" x14ac:dyDescent="0.2">
      <c r="A53" s="51"/>
      <c r="B53" s="51"/>
      <c r="C53" s="51"/>
    </row>
  </sheetData>
  <mergeCells count="5">
    <mergeCell ref="A1:J1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8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16.5" customHeight="1" x14ac:dyDescent="0.2"/>
  <cols>
    <col min="1" max="1" width="20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27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  <c r="K1" s="51"/>
    </row>
    <row r="2" spans="1:25" ht="12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  <c r="K2" s="51"/>
    </row>
    <row r="3" spans="1:25" ht="14.2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  <c r="K3" s="51"/>
    </row>
    <row r="4" spans="1:25" ht="12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  <c r="K4" s="51"/>
    </row>
    <row r="5" spans="1:25" ht="16.5" customHeight="1" x14ac:dyDescent="0.2">
      <c r="A5" s="434" t="s">
        <v>61</v>
      </c>
      <c r="B5" s="437" t="s">
        <v>62</v>
      </c>
      <c r="C5" s="437"/>
      <c r="D5" s="437"/>
      <c r="E5" s="438" t="s">
        <v>63</v>
      </c>
      <c r="F5" s="438"/>
      <c r="G5" s="438"/>
      <c r="H5" s="437" t="s">
        <v>64</v>
      </c>
      <c r="I5" s="437"/>
      <c r="J5" s="437"/>
      <c r="K5" s="51"/>
    </row>
    <row r="6" spans="1:25" ht="16.5" customHeight="1" x14ac:dyDescent="0.2">
      <c r="A6" s="435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  <c r="K6" s="51"/>
      <c r="L6" s="155"/>
    </row>
    <row r="7" spans="1:25" ht="16.5" customHeight="1" x14ac:dyDescent="0.2">
      <c r="A7" s="436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56"/>
    </row>
    <row r="8" spans="1:25" ht="15.75" customHeight="1" x14ac:dyDescent="0.2">
      <c r="A8" s="139" t="s">
        <v>75</v>
      </c>
      <c r="B8" s="140">
        <v>23.5</v>
      </c>
      <c r="C8" s="140">
        <v>17.099999999999998</v>
      </c>
      <c r="D8" s="140">
        <v>-27.2</v>
      </c>
      <c r="E8" s="141">
        <v>1728.7136</v>
      </c>
      <c r="F8" s="141">
        <v>1750.582456140351</v>
      </c>
      <c r="G8" s="140">
        <v>1.3</v>
      </c>
      <c r="H8" s="140">
        <v>40.6</v>
      </c>
      <c r="I8" s="140">
        <v>30</v>
      </c>
      <c r="J8" s="140">
        <v>-26.1</v>
      </c>
      <c r="K8" s="51"/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3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1709.9999999999998</v>
      </c>
      <c r="F10" s="144">
        <v>1710</v>
      </c>
      <c r="G10" s="145">
        <v>0</v>
      </c>
      <c r="H10" s="143">
        <v>15</v>
      </c>
      <c r="I10" s="143">
        <v>11.3</v>
      </c>
      <c r="J10" s="143">
        <v>-24.7</v>
      </c>
      <c r="K10" s="153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3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3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3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1472.8479999999997</v>
      </c>
      <c r="F14" s="144">
        <v>1629.6000000000001</v>
      </c>
      <c r="G14" s="145">
        <v>10.6</v>
      </c>
      <c r="H14" s="143">
        <v>0.3</v>
      </c>
      <c r="I14" s="143">
        <v>0.5</v>
      </c>
      <c r="J14" s="143">
        <v>66.7</v>
      </c>
      <c r="K14" s="153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10.199999999999999</v>
      </c>
      <c r="D15" s="143">
        <v>-29.7</v>
      </c>
      <c r="E15" s="144">
        <v>1743.6000000000001</v>
      </c>
      <c r="F15" s="144">
        <v>1780.4000000000003</v>
      </c>
      <c r="G15" s="145">
        <v>2.1</v>
      </c>
      <c r="H15" s="143">
        <v>25.3</v>
      </c>
      <c r="I15" s="143">
        <v>18.2</v>
      </c>
      <c r="J15" s="143">
        <v>-28.1</v>
      </c>
      <c r="K15" s="153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504.70000000000005</v>
      </c>
      <c r="D16" s="147">
        <v>4.3</v>
      </c>
      <c r="E16" s="148">
        <v>2004.5543459392436</v>
      </c>
      <c r="F16" s="148">
        <v>2153.7606114523478</v>
      </c>
      <c r="G16" s="147">
        <v>7.4</v>
      </c>
      <c r="H16" s="147">
        <v>970</v>
      </c>
      <c r="I16" s="147">
        <v>1087.0999999999999</v>
      </c>
      <c r="J16" s="147">
        <v>12.1</v>
      </c>
      <c r="K16" s="153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1797.5550000000001</v>
      </c>
      <c r="F17" s="144">
        <v>1966.8809999999999</v>
      </c>
      <c r="G17" s="145">
        <v>9.4</v>
      </c>
      <c r="H17" s="143">
        <v>59.3</v>
      </c>
      <c r="I17" s="143">
        <v>60.2</v>
      </c>
      <c r="J17" s="143">
        <v>1.5</v>
      </c>
      <c r="K17" s="153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1878.21</v>
      </c>
      <c r="F18" s="144">
        <v>2130.36</v>
      </c>
      <c r="G18" s="145">
        <v>13.4</v>
      </c>
      <c r="H18" s="143">
        <v>63.3</v>
      </c>
      <c r="I18" s="143">
        <v>92.5</v>
      </c>
      <c r="J18" s="143">
        <v>46.1</v>
      </c>
      <c r="K18" s="153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4</v>
      </c>
      <c r="D19" s="143">
        <v>66.7</v>
      </c>
      <c r="E19" s="144">
        <v>626.5</v>
      </c>
      <c r="F19" s="144">
        <v>529.54999999999995</v>
      </c>
      <c r="G19" s="145">
        <v>-15.5</v>
      </c>
      <c r="H19" s="143">
        <v>1.5</v>
      </c>
      <c r="I19" s="143">
        <v>2.1</v>
      </c>
      <c r="J19" s="143">
        <v>40</v>
      </c>
      <c r="K19" s="153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690.07999999999993</v>
      </c>
      <c r="F20" s="144">
        <v>584.05999999999995</v>
      </c>
      <c r="G20" s="145">
        <v>-15.4</v>
      </c>
      <c r="H20" s="143">
        <v>0.8</v>
      </c>
      <c r="I20" s="143">
        <v>0.7</v>
      </c>
      <c r="J20" s="143">
        <v>-12.5</v>
      </c>
      <c r="K20" s="153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204.84</v>
      </c>
      <c r="F21" s="144">
        <v>215.28</v>
      </c>
      <c r="G21" s="145">
        <v>5.0999999999999996</v>
      </c>
      <c r="H21" s="143">
        <v>0.1</v>
      </c>
      <c r="I21" s="143">
        <v>0.1</v>
      </c>
      <c r="J21" s="143">
        <v>0</v>
      </c>
      <c r="K21" s="153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3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3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3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425.1</v>
      </c>
      <c r="D25" s="143">
        <v>2.9</v>
      </c>
      <c r="E25" s="144">
        <v>2045</v>
      </c>
      <c r="F25" s="144">
        <v>2191.14</v>
      </c>
      <c r="G25" s="145">
        <v>7.1</v>
      </c>
      <c r="H25" s="143">
        <v>845</v>
      </c>
      <c r="I25" s="143">
        <v>931.5</v>
      </c>
      <c r="J25" s="143">
        <v>10.199999999999999</v>
      </c>
      <c r="K25" s="153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1447.5</v>
      </c>
      <c r="D26" s="147">
        <v>-5</v>
      </c>
      <c r="E26" s="148">
        <v>1953.3382939632547</v>
      </c>
      <c r="F26" s="148">
        <v>2024.1273202072539</v>
      </c>
      <c r="G26" s="147">
        <v>3.6</v>
      </c>
      <c r="H26" s="147">
        <v>2976.9</v>
      </c>
      <c r="I26" s="147">
        <v>2929.9</v>
      </c>
      <c r="J26" s="147">
        <v>-1.6</v>
      </c>
      <c r="K26" s="153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1386</v>
      </c>
      <c r="D27" s="143">
        <v>-5.2</v>
      </c>
      <c r="E27" s="144">
        <v>1950.82</v>
      </c>
      <c r="F27" s="144">
        <v>2022.0960000000002</v>
      </c>
      <c r="G27" s="145">
        <v>3.7</v>
      </c>
      <c r="H27" s="143">
        <v>2852.1</v>
      </c>
      <c r="I27" s="143">
        <v>2802.6</v>
      </c>
      <c r="J27" s="143">
        <v>-1.7</v>
      </c>
      <c r="K27" s="153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2234.4</v>
      </c>
      <c r="F28" s="144">
        <v>2121</v>
      </c>
      <c r="G28" s="145">
        <v>-5.0999999999999996</v>
      </c>
      <c r="H28" s="143">
        <v>70.8</v>
      </c>
      <c r="I28" s="143">
        <v>67.400000000000006</v>
      </c>
      <c r="J28" s="143">
        <v>-4.8</v>
      </c>
      <c r="K28" s="153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1780.8</v>
      </c>
      <c r="F29" s="144">
        <v>2015.2</v>
      </c>
      <c r="G29" s="145">
        <v>13.2</v>
      </c>
      <c r="H29" s="143">
        <v>54</v>
      </c>
      <c r="I29" s="143">
        <v>59.9</v>
      </c>
      <c r="J29" s="143">
        <v>10.9</v>
      </c>
      <c r="K29" s="153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3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1749.3553231939165</v>
      </c>
      <c r="F31" s="148">
        <v>1991.6441052631583</v>
      </c>
      <c r="G31" s="147">
        <v>13.9</v>
      </c>
      <c r="H31" s="147">
        <v>92</v>
      </c>
      <c r="I31" s="147">
        <v>94.6</v>
      </c>
      <c r="J31" s="147">
        <v>2.8</v>
      </c>
      <c r="K31" s="153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1751.4000000000003</v>
      </c>
      <c r="F32" s="144">
        <v>2039.1300000000003</v>
      </c>
      <c r="G32" s="145">
        <v>16.399999999999999</v>
      </c>
      <c r="H32" s="143">
        <v>79</v>
      </c>
      <c r="I32" s="143">
        <v>81.599999999999994</v>
      </c>
      <c r="J32" s="143">
        <v>3.3</v>
      </c>
      <c r="K32" s="153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3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3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1737.0600000000002</v>
      </c>
      <c r="F35" s="144">
        <v>1738.386</v>
      </c>
      <c r="G35" s="145">
        <v>0.1</v>
      </c>
      <c r="H35" s="143">
        <v>13</v>
      </c>
      <c r="I35" s="143">
        <v>13</v>
      </c>
      <c r="J35" s="143">
        <v>0</v>
      </c>
      <c r="K35" s="153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1230</v>
      </c>
      <c r="F36" s="148">
        <v>1353</v>
      </c>
      <c r="G36" s="147">
        <v>10</v>
      </c>
      <c r="H36" s="147">
        <v>2</v>
      </c>
      <c r="I36" s="147">
        <v>2.2000000000000002</v>
      </c>
      <c r="J36" s="147">
        <v>10</v>
      </c>
      <c r="K36" s="153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1230</v>
      </c>
      <c r="F37" s="144">
        <v>1353</v>
      </c>
      <c r="G37" s="145">
        <v>10</v>
      </c>
      <c r="H37" s="143">
        <v>2</v>
      </c>
      <c r="I37" s="143">
        <v>2.2000000000000002</v>
      </c>
      <c r="J37" s="143">
        <v>10</v>
      </c>
      <c r="K37" s="153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3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3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521.80000000000007</v>
      </c>
      <c r="D40" s="147">
        <v>2.8</v>
      </c>
      <c r="E40" s="148">
        <v>1991.7789073709105</v>
      </c>
      <c r="F40" s="148">
        <v>2140.5479888846298</v>
      </c>
      <c r="G40" s="147">
        <v>7.5</v>
      </c>
      <c r="H40" s="147">
        <v>1010.6</v>
      </c>
      <c r="I40" s="147">
        <v>1117.0999999999999</v>
      </c>
      <c r="J40" s="147">
        <v>10.5</v>
      </c>
      <c r="K40" s="153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1496.6</v>
      </c>
      <c r="D41" s="147">
        <v>-5.2</v>
      </c>
      <c r="E41" s="148">
        <v>1945.8063933595238</v>
      </c>
      <c r="F41" s="148">
        <v>2022.3788527328613</v>
      </c>
      <c r="G41" s="147">
        <v>3.9</v>
      </c>
      <c r="H41" s="147">
        <v>3070.9</v>
      </c>
      <c r="I41" s="147">
        <v>3026.7</v>
      </c>
      <c r="J41" s="147">
        <v>-1.4</v>
      </c>
      <c r="K41" s="153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2018.4</v>
      </c>
      <c r="D42" s="150">
        <v>-3.2</v>
      </c>
      <c r="E42" s="151">
        <v>1956.9909223245111</v>
      </c>
      <c r="F42" s="151">
        <v>2052.9281270313122</v>
      </c>
      <c r="G42" s="150">
        <v>4.9000000000000004</v>
      </c>
      <c r="H42" s="150">
        <v>4081.5</v>
      </c>
      <c r="I42" s="150">
        <v>4143.8</v>
      </c>
      <c r="J42" s="150">
        <v>1.5</v>
      </c>
      <c r="K42" s="153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2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  <c r="K43" s="153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2.75" customHeight="1" x14ac:dyDescent="0.2">
      <c r="A44" s="25" t="s">
        <v>212</v>
      </c>
      <c r="B44" s="51"/>
      <c r="C44" s="51"/>
      <c r="D44" s="51"/>
      <c r="E44" s="51"/>
      <c r="F44" s="51"/>
      <c r="G44" s="51"/>
      <c r="H44" s="51"/>
      <c r="I44" s="51"/>
      <c r="J44" s="51"/>
      <c r="K44" s="51"/>
    </row>
    <row r="45" spans="1:25" ht="16.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</row>
    <row r="46" spans="1:25" ht="16.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</row>
    <row r="47" spans="1:25" ht="16.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</row>
    <row r="48" spans="1:25" ht="16.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</row>
    <row r="49" spans="1:11" ht="16.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</row>
    <row r="50" spans="1:11" ht="16.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</row>
    <row r="51" spans="1:11" ht="16.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</row>
    <row r="52" spans="1:11" ht="16.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</row>
    <row r="53" spans="1:11" ht="16.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ht="16.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</row>
    <row r="55" spans="1:11" ht="16.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</row>
    <row r="56" spans="1:11" ht="16.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</row>
    <row r="57" spans="1:11" ht="16.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</row>
    <row r="58" spans="1:11" ht="16.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44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7.42578125" style="1" customWidth="1"/>
    <col min="5" max="6" width="11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11" width="11.42578125" style="1" customWidth="1"/>
    <col min="12" max="12" width="12.42578125" style="1" customWidth="1"/>
    <col min="13" max="257" width="11.42578125" style="1" customWidth="1"/>
  </cols>
  <sheetData>
    <row r="1" spans="1:25" ht="36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25" ht="15.75" customHeight="1" x14ac:dyDescent="0.2">
      <c r="A2" s="439" t="s">
        <v>116</v>
      </c>
      <c r="B2" s="439"/>
      <c r="C2" s="439"/>
      <c r="D2" s="439"/>
      <c r="E2" s="439"/>
      <c r="F2" s="439"/>
      <c r="G2" s="439"/>
      <c r="H2" s="439"/>
      <c r="I2" s="439"/>
      <c r="J2" s="439"/>
    </row>
    <row r="3" spans="1:25" ht="15.75" customHeight="1" x14ac:dyDescent="0.2">
      <c r="A3" s="439" t="s">
        <v>118</v>
      </c>
      <c r="B3" s="439"/>
      <c r="C3" s="439"/>
      <c r="D3" s="439"/>
      <c r="E3" s="439"/>
      <c r="F3" s="439"/>
      <c r="G3" s="439"/>
      <c r="H3" s="439"/>
      <c r="I3" s="439"/>
      <c r="J3" s="439"/>
    </row>
    <row r="4" spans="1:25" ht="15.75" customHeight="1" x14ac:dyDescent="0.2">
      <c r="A4" s="439" t="s">
        <v>0</v>
      </c>
      <c r="B4" s="439"/>
      <c r="C4" s="439"/>
      <c r="D4" s="439"/>
      <c r="E4" s="439"/>
      <c r="F4" s="439"/>
      <c r="G4" s="439"/>
      <c r="H4" s="439"/>
      <c r="I4" s="439"/>
      <c r="J4" s="439"/>
    </row>
    <row r="5" spans="1:25" ht="18" customHeight="1" x14ac:dyDescent="0.2">
      <c r="A5" s="434" t="s">
        <v>61</v>
      </c>
      <c r="B5" s="437" t="s">
        <v>62</v>
      </c>
      <c r="C5" s="437"/>
      <c r="D5" s="437"/>
      <c r="E5" s="438" t="s">
        <v>63</v>
      </c>
      <c r="F5" s="438"/>
      <c r="G5" s="438"/>
      <c r="H5" s="437" t="s">
        <v>64</v>
      </c>
      <c r="I5" s="437"/>
      <c r="J5" s="437"/>
    </row>
    <row r="6" spans="1:25" ht="21.75" customHeight="1" x14ac:dyDescent="0.2">
      <c r="A6" s="435"/>
      <c r="B6" s="132" t="s">
        <v>2</v>
      </c>
      <c r="C6" s="133" t="s">
        <v>5</v>
      </c>
      <c r="D6" s="133" t="s">
        <v>65</v>
      </c>
      <c r="E6" s="133" t="s">
        <v>2</v>
      </c>
      <c r="F6" s="133" t="s">
        <v>5</v>
      </c>
      <c r="G6" s="133" t="s">
        <v>65</v>
      </c>
      <c r="H6" s="133" t="s">
        <v>2</v>
      </c>
      <c r="I6" s="133" t="s">
        <v>5</v>
      </c>
      <c r="J6" s="134" t="s">
        <v>65</v>
      </c>
    </row>
    <row r="7" spans="1:25" ht="20.25" customHeight="1" x14ac:dyDescent="0.2">
      <c r="A7" s="436"/>
      <c r="B7" s="135" t="s">
        <v>66</v>
      </c>
      <c r="C7" s="136" t="s">
        <v>67</v>
      </c>
      <c r="D7" s="136" t="s">
        <v>68</v>
      </c>
      <c r="E7" s="136" t="s">
        <v>69</v>
      </c>
      <c r="F7" s="136" t="s">
        <v>70</v>
      </c>
      <c r="G7" s="136" t="s">
        <v>71</v>
      </c>
      <c r="H7" s="136" t="s">
        <v>72</v>
      </c>
      <c r="I7" s="137" t="s">
        <v>73</v>
      </c>
      <c r="J7" s="138" t="s">
        <v>74</v>
      </c>
      <c r="K7" s="160"/>
    </row>
    <row r="8" spans="1:25" ht="15.75" customHeight="1" x14ac:dyDescent="0.2">
      <c r="A8" s="139" t="s">
        <v>75</v>
      </c>
      <c r="B8" s="140">
        <v>23.5</v>
      </c>
      <c r="C8" s="140">
        <v>17.099999999999998</v>
      </c>
      <c r="D8" s="140">
        <v>-27.2</v>
      </c>
      <c r="E8" s="141">
        <v>2678.294910638298</v>
      </c>
      <c r="F8" s="141">
        <v>2714.9263157894734</v>
      </c>
      <c r="G8" s="140">
        <v>1.4</v>
      </c>
      <c r="H8" s="140">
        <v>63.000000000000007</v>
      </c>
      <c r="I8" s="140">
        <v>46.4</v>
      </c>
      <c r="J8" s="140">
        <v>-26.3</v>
      </c>
    </row>
    <row r="9" spans="1:25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  <c r="K9" s="157"/>
      <c r="L9" s="157"/>
      <c r="M9" s="157"/>
      <c r="N9" s="158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customHeight="1" x14ac:dyDescent="0.2">
      <c r="A10" s="142" t="s">
        <v>77</v>
      </c>
      <c r="B10" s="143">
        <v>8.8000000000000007</v>
      </c>
      <c r="C10" s="143">
        <v>6.6</v>
      </c>
      <c r="D10" s="143">
        <v>-25</v>
      </c>
      <c r="E10" s="144">
        <v>2790</v>
      </c>
      <c r="F10" s="144">
        <v>2790</v>
      </c>
      <c r="G10" s="145">
        <v>0</v>
      </c>
      <c r="H10" s="143">
        <v>24.6</v>
      </c>
      <c r="I10" s="143">
        <v>18.399999999999999</v>
      </c>
      <c r="J10" s="143">
        <v>-25.2</v>
      </c>
      <c r="K10" s="157"/>
      <c r="L10" s="157"/>
      <c r="M10" s="157"/>
      <c r="N10" s="158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  <c r="K11" s="157"/>
      <c r="L11" s="157"/>
      <c r="M11" s="157"/>
      <c r="N11" s="158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  <c r="K12" s="157"/>
      <c r="L12" s="157"/>
      <c r="M12" s="157"/>
      <c r="N12" s="158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  <c r="K13" s="157"/>
      <c r="L13" s="157"/>
      <c r="M13" s="157"/>
      <c r="N13" s="158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customHeight="1" x14ac:dyDescent="0.2">
      <c r="A14" s="142" t="s">
        <v>81</v>
      </c>
      <c r="B14" s="143">
        <v>0.2</v>
      </c>
      <c r="C14" s="143">
        <v>0.3</v>
      </c>
      <c r="D14" s="143">
        <v>50</v>
      </c>
      <c r="E14" s="144">
        <v>2323.152</v>
      </c>
      <c r="F14" s="144">
        <v>2570.4</v>
      </c>
      <c r="G14" s="145">
        <v>10.6</v>
      </c>
      <c r="H14" s="143">
        <v>0.5</v>
      </c>
      <c r="I14" s="143">
        <v>0.8</v>
      </c>
      <c r="J14" s="143">
        <v>60</v>
      </c>
      <c r="K14" s="157"/>
      <c r="L14" s="157"/>
      <c r="M14" s="157"/>
      <c r="N14" s="158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82</v>
      </c>
      <c r="B15" s="143">
        <v>14.5</v>
      </c>
      <c r="C15" s="143">
        <v>10.199999999999999</v>
      </c>
      <c r="D15" s="143">
        <v>-29.7</v>
      </c>
      <c r="E15" s="144">
        <v>2615.4</v>
      </c>
      <c r="F15" s="144">
        <v>2670.6</v>
      </c>
      <c r="G15" s="145">
        <v>2.1</v>
      </c>
      <c r="H15" s="143">
        <v>37.900000000000006</v>
      </c>
      <c r="I15" s="143">
        <v>27.2</v>
      </c>
      <c r="J15" s="143">
        <v>-28.2</v>
      </c>
      <c r="K15" s="157"/>
      <c r="L15" s="157"/>
      <c r="M15" s="157"/>
      <c r="N15" s="158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6" t="s">
        <v>83</v>
      </c>
      <c r="B16" s="147">
        <v>483.90000000000003</v>
      </c>
      <c r="C16" s="147">
        <v>504.70000000000005</v>
      </c>
      <c r="D16" s="147">
        <v>4.3</v>
      </c>
      <c r="E16" s="148">
        <v>2785.6324695184953</v>
      </c>
      <c r="F16" s="148">
        <v>2994.9298977610465</v>
      </c>
      <c r="G16" s="147">
        <v>7.5</v>
      </c>
      <c r="H16" s="147">
        <v>1348</v>
      </c>
      <c r="I16" s="147">
        <v>1511.3999999999999</v>
      </c>
      <c r="J16" s="147">
        <v>12.1</v>
      </c>
      <c r="K16" s="157"/>
      <c r="L16" s="157"/>
      <c r="M16" s="157"/>
      <c r="N16" s="158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42" t="s">
        <v>84</v>
      </c>
      <c r="B17" s="143">
        <v>33</v>
      </c>
      <c r="C17" s="143">
        <v>30.6</v>
      </c>
      <c r="D17" s="143">
        <v>-7.3</v>
      </c>
      <c r="E17" s="144">
        <v>2597.4449999999997</v>
      </c>
      <c r="F17" s="144">
        <v>2842.1190000000001</v>
      </c>
      <c r="G17" s="145">
        <v>9.4</v>
      </c>
      <c r="H17" s="143">
        <v>85.7</v>
      </c>
      <c r="I17" s="143">
        <v>86.999999999999986</v>
      </c>
      <c r="J17" s="143">
        <v>1.5</v>
      </c>
      <c r="K17" s="157"/>
      <c r="L17" s="157"/>
      <c r="M17" s="157"/>
      <c r="N17" s="158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85</v>
      </c>
      <c r="B18" s="143">
        <v>33.700000000000003</v>
      </c>
      <c r="C18" s="143">
        <v>43.4</v>
      </c>
      <c r="D18" s="143">
        <v>28.8</v>
      </c>
      <c r="E18" s="144">
        <v>2702.7900000000004</v>
      </c>
      <c r="F18" s="144">
        <v>3065.64</v>
      </c>
      <c r="G18" s="145">
        <v>13.4</v>
      </c>
      <c r="H18" s="143">
        <v>91.100000000000009</v>
      </c>
      <c r="I18" s="143">
        <v>133</v>
      </c>
      <c r="J18" s="143">
        <v>46</v>
      </c>
      <c r="K18" s="157"/>
      <c r="L18" s="157"/>
      <c r="M18" s="157"/>
      <c r="N18" s="158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86</v>
      </c>
      <c r="B19" s="143">
        <v>2.4</v>
      </c>
      <c r="C19" s="143">
        <v>4</v>
      </c>
      <c r="D19" s="143">
        <v>66.7</v>
      </c>
      <c r="E19" s="144">
        <v>1163.5</v>
      </c>
      <c r="F19" s="144">
        <v>983.45</v>
      </c>
      <c r="G19" s="145">
        <v>-15.5</v>
      </c>
      <c r="H19" s="143">
        <v>2.8</v>
      </c>
      <c r="I19" s="143">
        <v>3.9999999999999996</v>
      </c>
      <c r="J19" s="143">
        <v>42.9</v>
      </c>
      <c r="K19" s="157"/>
      <c r="L19" s="157"/>
      <c r="M19" s="157"/>
      <c r="N19" s="158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87</v>
      </c>
      <c r="B20" s="143">
        <v>1.2</v>
      </c>
      <c r="C20" s="143">
        <v>1.2</v>
      </c>
      <c r="D20" s="143">
        <v>0</v>
      </c>
      <c r="E20" s="144">
        <v>1125.9199999999998</v>
      </c>
      <c r="F20" s="144">
        <v>952.93999999999983</v>
      </c>
      <c r="G20" s="145">
        <v>-15.4</v>
      </c>
      <c r="H20" s="143">
        <v>1.4000000000000001</v>
      </c>
      <c r="I20" s="143">
        <v>1.1000000000000001</v>
      </c>
      <c r="J20" s="143">
        <v>-21.4</v>
      </c>
      <c r="K20" s="157"/>
      <c r="L20" s="157"/>
      <c r="M20" s="157"/>
      <c r="N20" s="158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88</v>
      </c>
      <c r="B21" s="143">
        <v>0.5</v>
      </c>
      <c r="C21" s="143">
        <v>0.4</v>
      </c>
      <c r="D21" s="143">
        <v>-20</v>
      </c>
      <c r="E21" s="144">
        <v>364.15999999999997</v>
      </c>
      <c r="F21" s="144">
        <v>382.72</v>
      </c>
      <c r="G21" s="145">
        <v>5.0999999999999996</v>
      </c>
      <c r="H21" s="143">
        <v>0.19999999999999998</v>
      </c>
      <c r="I21" s="143">
        <v>0.1</v>
      </c>
      <c r="J21" s="143">
        <v>-50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customHeight="1" x14ac:dyDescent="0.2">
      <c r="A25" s="142" t="s">
        <v>92</v>
      </c>
      <c r="B25" s="143">
        <v>413.1</v>
      </c>
      <c r="C25" s="143">
        <v>425.1</v>
      </c>
      <c r="D25" s="143">
        <v>2.9</v>
      </c>
      <c r="E25" s="144">
        <v>2824.6</v>
      </c>
      <c r="F25" s="144">
        <v>3025.86</v>
      </c>
      <c r="G25" s="145">
        <v>7.1</v>
      </c>
      <c r="H25" s="143">
        <v>1166.8</v>
      </c>
      <c r="I25" s="143">
        <v>1286.1999999999998</v>
      </c>
      <c r="J25" s="143">
        <v>10.199999999999999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6" t="s">
        <v>93</v>
      </c>
      <c r="B26" s="147">
        <v>1524</v>
      </c>
      <c r="C26" s="147">
        <v>1447.5</v>
      </c>
      <c r="D26" s="147">
        <v>-5</v>
      </c>
      <c r="E26" s="148">
        <v>2788.2034383202099</v>
      </c>
      <c r="F26" s="148">
        <v>2889.6596227979276</v>
      </c>
      <c r="G26" s="147">
        <v>3.6</v>
      </c>
      <c r="H26" s="147">
        <v>4249.2</v>
      </c>
      <c r="I26" s="147">
        <v>4182.8</v>
      </c>
      <c r="J26" s="147">
        <v>-1.6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42" t="s">
        <v>94</v>
      </c>
      <c r="B27" s="143">
        <v>1462</v>
      </c>
      <c r="C27" s="143">
        <v>1386</v>
      </c>
      <c r="D27" s="143">
        <v>-5.2</v>
      </c>
      <c r="E27" s="144">
        <v>2784.1800000000003</v>
      </c>
      <c r="F27" s="144">
        <v>2885.9039999999995</v>
      </c>
      <c r="G27" s="145">
        <v>3.7</v>
      </c>
      <c r="H27" s="143">
        <v>4070.5000000000005</v>
      </c>
      <c r="I27" s="143">
        <v>3999.9</v>
      </c>
      <c r="J27" s="143">
        <v>-1.7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95</v>
      </c>
      <c r="B28" s="143">
        <v>31.7</v>
      </c>
      <c r="C28" s="143">
        <v>31.8</v>
      </c>
      <c r="D28" s="143">
        <v>0.3</v>
      </c>
      <c r="E28" s="144">
        <v>3085.6000000000004</v>
      </c>
      <c r="F28" s="144">
        <v>2929</v>
      </c>
      <c r="G28" s="145">
        <v>-5.0999999999999996</v>
      </c>
      <c r="H28" s="143">
        <v>97.8</v>
      </c>
      <c r="I28" s="143">
        <v>93.199999999999989</v>
      </c>
      <c r="J28" s="143">
        <v>-4.7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96</v>
      </c>
      <c r="B29" s="143">
        <v>30.3</v>
      </c>
      <c r="C29" s="143">
        <v>29.7</v>
      </c>
      <c r="D29" s="143">
        <v>-2</v>
      </c>
      <c r="E29" s="144">
        <v>2671.2000000000003</v>
      </c>
      <c r="F29" s="144">
        <v>3022.8</v>
      </c>
      <c r="G29" s="145">
        <v>13.2</v>
      </c>
      <c r="H29" s="143">
        <v>80.900000000000006</v>
      </c>
      <c r="I29" s="143">
        <v>89.699999999999989</v>
      </c>
      <c r="J29" s="143">
        <v>10.9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customHeight="1" x14ac:dyDescent="0.2">
      <c r="A31" s="146" t="s">
        <v>98</v>
      </c>
      <c r="B31" s="147">
        <v>52.6</v>
      </c>
      <c r="C31" s="147">
        <v>47.5</v>
      </c>
      <c r="D31" s="147">
        <v>-9.6999999999999993</v>
      </c>
      <c r="E31" s="148">
        <v>2412.1465779467676</v>
      </c>
      <c r="F31" s="148">
        <v>2747.2506315789469</v>
      </c>
      <c r="G31" s="147">
        <v>13.9</v>
      </c>
      <c r="H31" s="147">
        <v>126.9</v>
      </c>
      <c r="I31" s="147">
        <v>130.5</v>
      </c>
      <c r="J31" s="147">
        <v>2.8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42" t="s">
        <v>99</v>
      </c>
      <c r="B32" s="143">
        <v>45.1</v>
      </c>
      <c r="C32" s="143">
        <v>40</v>
      </c>
      <c r="D32" s="143">
        <v>-11.3</v>
      </c>
      <c r="E32" s="144">
        <v>2448.5999999999995</v>
      </c>
      <c r="F32" s="144">
        <v>2850.87</v>
      </c>
      <c r="G32" s="145">
        <v>16.399999999999999</v>
      </c>
      <c r="H32" s="143">
        <v>110.4</v>
      </c>
      <c r="I32" s="143">
        <v>114</v>
      </c>
      <c r="J32" s="143">
        <v>3.3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customHeight="1" x14ac:dyDescent="0.2">
      <c r="A35" s="142" t="s">
        <v>102</v>
      </c>
      <c r="B35" s="143">
        <v>7.5</v>
      </c>
      <c r="C35" s="143">
        <v>7.5</v>
      </c>
      <c r="D35" s="143">
        <v>0</v>
      </c>
      <c r="E35" s="144">
        <v>2192.94</v>
      </c>
      <c r="F35" s="144">
        <v>2194.614</v>
      </c>
      <c r="G35" s="145">
        <v>0.1</v>
      </c>
      <c r="H35" s="143">
        <v>16.5</v>
      </c>
      <c r="I35" s="143">
        <v>16.5</v>
      </c>
      <c r="J35" s="143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6" t="s">
        <v>103</v>
      </c>
      <c r="B36" s="147">
        <v>1.6</v>
      </c>
      <c r="C36" s="147">
        <v>1.6</v>
      </c>
      <c r="D36" s="147">
        <v>0</v>
      </c>
      <c r="E36" s="148">
        <v>1770</v>
      </c>
      <c r="F36" s="148">
        <v>1946.9999999999998</v>
      </c>
      <c r="G36" s="147">
        <v>10</v>
      </c>
      <c r="H36" s="147">
        <v>2.8</v>
      </c>
      <c r="I36" s="147">
        <v>3.0999999999999996</v>
      </c>
      <c r="J36" s="147">
        <v>10.7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42" t="s">
        <v>104</v>
      </c>
      <c r="B37" s="143">
        <v>1.6</v>
      </c>
      <c r="C37" s="143">
        <v>1.6</v>
      </c>
      <c r="D37" s="143">
        <v>0</v>
      </c>
      <c r="E37" s="144">
        <v>1770</v>
      </c>
      <c r="F37" s="144">
        <v>1946.9999999999998</v>
      </c>
      <c r="G37" s="145">
        <v>10</v>
      </c>
      <c r="H37" s="143">
        <v>2.8</v>
      </c>
      <c r="I37" s="143">
        <v>3.0999999999999996</v>
      </c>
      <c r="J37" s="143">
        <v>10.7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  <c r="K38" s="157"/>
      <c r="L38" s="157"/>
      <c r="M38" s="157"/>
      <c r="N38" s="158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  <c r="K39" s="157"/>
      <c r="L39" s="157"/>
      <c r="M39" s="157"/>
      <c r="N39" s="158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customHeight="1" x14ac:dyDescent="0.2">
      <c r="A40" s="146" t="s">
        <v>107</v>
      </c>
      <c r="B40" s="147">
        <v>507.40000000000003</v>
      </c>
      <c r="C40" s="147">
        <v>521.80000000000007</v>
      </c>
      <c r="D40" s="147">
        <v>2.8</v>
      </c>
      <c r="E40" s="148">
        <v>2780.6611793456832</v>
      </c>
      <c r="F40" s="148">
        <v>2985.7538509007281</v>
      </c>
      <c r="G40" s="147">
        <v>7.4</v>
      </c>
      <c r="H40" s="147">
        <v>1411</v>
      </c>
      <c r="I40" s="147">
        <v>1557.8</v>
      </c>
      <c r="J40" s="147">
        <v>10.4</v>
      </c>
      <c r="K40" s="157"/>
      <c r="L40" s="157"/>
      <c r="M40" s="157"/>
      <c r="N40" s="158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108</v>
      </c>
      <c r="B41" s="147">
        <v>1578.1999999999998</v>
      </c>
      <c r="C41" s="147">
        <v>1496.6</v>
      </c>
      <c r="D41" s="147">
        <v>-5.2</v>
      </c>
      <c r="E41" s="148">
        <v>2774.6375300975801</v>
      </c>
      <c r="F41" s="148">
        <v>2884.131971802753</v>
      </c>
      <c r="G41" s="147">
        <v>3.9</v>
      </c>
      <c r="H41" s="147">
        <v>4378.8999999999996</v>
      </c>
      <c r="I41" s="147">
        <v>4316.4000000000005</v>
      </c>
      <c r="J41" s="147">
        <v>-1.4</v>
      </c>
      <c r="K41" s="157"/>
      <c r="L41" s="157"/>
      <c r="M41" s="157"/>
      <c r="N41" s="158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9" t="s">
        <v>58</v>
      </c>
      <c r="B42" s="150">
        <v>2085.6</v>
      </c>
      <c r="C42" s="150">
        <v>2018.4</v>
      </c>
      <c r="D42" s="150">
        <v>-3.2</v>
      </c>
      <c r="E42" s="151">
        <v>2776.1030074798623</v>
      </c>
      <c r="F42" s="151">
        <v>2910.4034227110583</v>
      </c>
      <c r="G42" s="150">
        <v>4.8</v>
      </c>
      <c r="H42" s="150">
        <v>5789.9</v>
      </c>
      <c r="I42" s="150">
        <v>5874.2000000000007</v>
      </c>
      <c r="J42" s="150">
        <v>1.5</v>
      </c>
      <c r="K42" s="157"/>
      <c r="L42" s="157"/>
      <c r="M42" s="157"/>
      <c r="N42" s="159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128" t="s">
        <v>212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53"/>
  <sheetViews>
    <sheetView showGridLines="0" zoomScale="85" zoomScaleNormal="85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20.42578125" style="1" customWidth="1"/>
    <col min="2" max="3" width="12.42578125" style="1" customWidth="1"/>
    <col min="4" max="4" width="7.42578125" style="1" customWidth="1"/>
    <col min="5" max="6" width="12.42578125" style="1" customWidth="1"/>
    <col min="7" max="7" width="7.42578125" style="1" customWidth="1"/>
    <col min="8" max="9" width="11.42578125" style="1" customWidth="1"/>
    <col min="10" max="10" width="7.42578125" style="1" customWidth="1"/>
    <col min="11" max="257" width="11.42578125" style="1" customWidth="1"/>
  </cols>
  <sheetData>
    <row r="1" spans="1:25" ht="24.75" customHeight="1" x14ac:dyDescent="0.2">
      <c r="A1" s="154"/>
      <c r="B1" s="154"/>
      <c r="C1" s="154"/>
      <c r="D1" s="154"/>
      <c r="E1" s="154"/>
      <c r="F1" s="154"/>
      <c r="G1" s="154"/>
      <c r="H1" s="154"/>
      <c r="I1" s="154"/>
      <c r="J1" s="154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</row>
    <row r="2" spans="1:25" ht="15.75" customHeight="1" x14ac:dyDescent="0.2">
      <c r="A2" s="439" t="s">
        <v>57</v>
      </c>
      <c r="B2" s="439"/>
      <c r="C2" s="439"/>
      <c r="D2" s="439"/>
      <c r="E2" s="439"/>
      <c r="F2" s="439"/>
      <c r="G2" s="439"/>
      <c r="H2" s="439"/>
      <c r="I2" s="439"/>
      <c r="J2" s="439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</row>
    <row r="3" spans="1:25" ht="24" customHeight="1" x14ac:dyDescent="0.2">
      <c r="A3" s="410" t="s">
        <v>119</v>
      </c>
      <c r="B3" s="410"/>
      <c r="C3" s="410"/>
      <c r="D3" s="410"/>
      <c r="E3" s="410"/>
      <c r="F3" s="410"/>
      <c r="G3" s="410"/>
      <c r="H3" s="410"/>
      <c r="I3" s="410"/>
      <c r="J3" s="410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</row>
    <row r="4" spans="1:25" ht="16.5" customHeight="1" x14ac:dyDescent="0.2">
      <c r="A4" s="410" t="s">
        <v>0</v>
      </c>
      <c r="B4" s="410"/>
      <c r="C4" s="410"/>
      <c r="D4" s="410"/>
      <c r="E4" s="410"/>
      <c r="F4" s="410"/>
      <c r="G4" s="410"/>
      <c r="H4" s="410"/>
      <c r="I4" s="410"/>
      <c r="J4" s="410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</row>
    <row r="5" spans="1:25" ht="19.5" customHeight="1" x14ac:dyDescent="0.2">
      <c r="A5" s="440" t="s">
        <v>61</v>
      </c>
      <c r="B5" s="443" t="s">
        <v>114</v>
      </c>
      <c r="C5" s="443"/>
      <c r="D5" s="443"/>
      <c r="E5" s="443"/>
      <c r="F5" s="443"/>
      <c r="G5" s="444"/>
      <c r="H5" s="445" t="s">
        <v>113</v>
      </c>
      <c r="I5" s="446"/>
      <c r="J5" s="447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</row>
    <row r="6" spans="1:25" ht="19.5" customHeight="1" x14ac:dyDescent="0.2">
      <c r="A6" s="441"/>
      <c r="B6" s="443" t="s">
        <v>115</v>
      </c>
      <c r="C6" s="443"/>
      <c r="D6" s="444"/>
      <c r="E6" s="435" t="s">
        <v>20</v>
      </c>
      <c r="F6" s="443"/>
      <c r="G6" s="444"/>
      <c r="H6" s="448"/>
      <c r="I6" s="449"/>
      <c r="J6" s="450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</row>
    <row r="7" spans="1:25" ht="19.5" customHeight="1" x14ac:dyDescent="0.2">
      <c r="A7" s="441"/>
      <c r="B7" s="162" t="s">
        <v>2</v>
      </c>
      <c r="C7" s="163" t="s">
        <v>5</v>
      </c>
      <c r="D7" s="163" t="s">
        <v>65</v>
      </c>
      <c r="E7" s="163" t="s">
        <v>2</v>
      </c>
      <c r="F7" s="163" t="s">
        <v>5</v>
      </c>
      <c r="G7" s="163" t="s">
        <v>65</v>
      </c>
      <c r="H7" s="163" t="s">
        <v>2</v>
      </c>
      <c r="I7" s="163" t="s">
        <v>5</v>
      </c>
      <c r="J7" s="163" t="s">
        <v>65</v>
      </c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</row>
    <row r="8" spans="1:25" ht="15" customHeight="1" x14ac:dyDescent="0.2">
      <c r="A8" s="442"/>
      <c r="B8" s="162" t="s">
        <v>67</v>
      </c>
      <c r="C8" s="163" t="s">
        <v>67</v>
      </c>
      <c r="D8" s="163" t="s">
        <v>68</v>
      </c>
      <c r="E8" s="163" t="s">
        <v>71</v>
      </c>
      <c r="F8" s="163" t="s">
        <v>71</v>
      </c>
      <c r="G8" s="163" t="s">
        <v>72</v>
      </c>
      <c r="H8" s="163" t="s">
        <v>73</v>
      </c>
      <c r="I8" s="163" t="s">
        <v>73</v>
      </c>
      <c r="J8" s="163" t="s">
        <v>74</v>
      </c>
    </row>
    <row r="9" spans="1:25" ht="15.75" customHeight="1" x14ac:dyDescent="0.2">
      <c r="A9" s="164" t="s">
        <v>75</v>
      </c>
      <c r="B9" s="147">
        <v>103.6</v>
      </c>
      <c r="C9" s="147">
        <v>76.400000000000006</v>
      </c>
      <c r="D9" s="147">
        <v>-26.3</v>
      </c>
      <c r="E9" s="147">
        <v>40.6</v>
      </c>
      <c r="F9" s="147">
        <v>30</v>
      </c>
      <c r="G9" s="147">
        <v>-26.1</v>
      </c>
      <c r="H9" s="147">
        <v>39.200000000000003</v>
      </c>
      <c r="I9" s="147">
        <v>39.200000000000003</v>
      </c>
      <c r="J9" s="147">
        <v>0</v>
      </c>
      <c r="K9" s="157"/>
      <c r="L9" s="157"/>
      <c r="M9" s="157"/>
      <c r="N9" s="157"/>
      <c r="O9" s="157"/>
      <c r="P9" s="157"/>
      <c r="Q9" s="157"/>
      <c r="R9" s="157"/>
      <c r="S9" s="157"/>
      <c r="T9" s="157"/>
      <c r="U9" s="157"/>
      <c r="V9" s="157"/>
      <c r="W9" s="157"/>
      <c r="X9" s="157"/>
      <c r="Y9" s="157"/>
    </row>
    <row r="10" spans="1:25" ht="15.75" hidden="1" customHeight="1" x14ac:dyDescent="0.2">
      <c r="A10" s="142" t="s">
        <v>76</v>
      </c>
      <c r="B10" s="145">
        <v>0</v>
      </c>
      <c r="C10" s="145">
        <v>0</v>
      </c>
      <c r="D10" s="143">
        <v>0</v>
      </c>
      <c r="E10" s="145">
        <v>0</v>
      </c>
      <c r="F10" s="145">
        <v>0</v>
      </c>
      <c r="G10" s="145">
        <v>0</v>
      </c>
      <c r="H10" s="145">
        <v>38</v>
      </c>
      <c r="I10" s="145">
        <v>38</v>
      </c>
      <c r="J10" s="145">
        <v>0</v>
      </c>
      <c r="K10" s="157"/>
      <c r="L10" s="157"/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</row>
    <row r="11" spans="1:25" ht="15.75" customHeight="1" x14ac:dyDescent="0.2">
      <c r="A11" s="142" t="s">
        <v>77</v>
      </c>
      <c r="B11" s="145">
        <v>39.6</v>
      </c>
      <c r="C11" s="145">
        <v>29.7</v>
      </c>
      <c r="D11" s="143">
        <v>-25</v>
      </c>
      <c r="E11" s="145">
        <v>15</v>
      </c>
      <c r="F11" s="145">
        <v>11.3</v>
      </c>
      <c r="G11" s="143">
        <v>-24.7</v>
      </c>
      <c r="H11" s="145">
        <v>38</v>
      </c>
      <c r="I11" s="145">
        <v>38</v>
      </c>
      <c r="J11" s="145">
        <v>0</v>
      </c>
      <c r="K11" s="157"/>
      <c r="L11" s="157"/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</row>
    <row r="12" spans="1:25" ht="15.75" hidden="1" customHeight="1" x14ac:dyDescent="0.2">
      <c r="A12" s="142" t="s">
        <v>78</v>
      </c>
      <c r="B12" s="145">
        <v>0</v>
      </c>
      <c r="C12" s="145">
        <v>0</v>
      </c>
      <c r="D12" s="143">
        <v>0</v>
      </c>
      <c r="E12" s="145">
        <v>0</v>
      </c>
      <c r="F12" s="145">
        <v>0</v>
      </c>
      <c r="G12" s="143">
        <v>0</v>
      </c>
      <c r="H12" s="145">
        <v>0</v>
      </c>
      <c r="I12" s="145">
        <v>0</v>
      </c>
      <c r="J12" s="145">
        <v>0</v>
      </c>
      <c r="K12" s="157"/>
      <c r="L12" s="157"/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</row>
    <row r="13" spans="1:25" ht="15.75" hidden="1" customHeight="1" x14ac:dyDescent="0.2">
      <c r="A13" s="142" t="s">
        <v>79</v>
      </c>
      <c r="B13" s="145">
        <v>0</v>
      </c>
      <c r="C13" s="145">
        <v>0</v>
      </c>
      <c r="D13" s="143">
        <v>0</v>
      </c>
      <c r="E13" s="145">
        <v>0</v>
      </c>
      <c r="F13" s="145">
        <v>0</v>
      </c>
      <c r="G13" s="143">
        <v>0</v>
      </c>
      <c r="H13" s="145">
        <v>0</v>
      </c>
      <c r="I13" s="145">
        <v>0</v>
      </c>
      <c r="J13" s="145">
        <v>0</v>
      </c>
      <c r="K13" s="157"/>
      <c r="L13" s="157"/>
      <c r="M13" s="157"/>
      <c r="N13" s="157"/>
      <c r="O13" s="157"/>
      <c r="P13" s="157"/>
      <c r="Q13" s="157"/>
      <c r="R13" s="157"/>
      <c r="S13" s="157"/>
      <c r="T13" s="157"/>
      <c r="U13" s="157"/>
      <c r="V13" s="157"/>
      <c r="W13" s="157"/>
      <c r="X13" s="157"/>
      <c r="Y13" s="157"/>
    </row>
    <row r="14" spans="1:25" ht="15.75" hidden="1" customHeight="1" x14ac:dyDescent="0.2">
      <c r="A14" s="142" t="s">
        <v>80</v>
      </c>
      <c r="B14" s="145">
        <v>0</v>
      </c>
      <c r="C14" s="145">
        <v>0</v>
      </c>
      <c r="D14" s="143">
        <v>0</v>
      </c>
      <c r="E14" s="145">
        <v>0</v>
      </c>
      <c r="F14" s="145">
        <v>0</v>
      </c>
      <c r="G14" s="143">
        <v>0</v>
      </c>
      <c r="H14" s="145">
        <v>0</v>
      </c>
      <c r="I14" s="145">
        <v>0</v>
      </c>
      <c r="J14" s="145">
        <v>0</v>
      </c>
      <c r="K14" s="157"/>
      <c r="L14" s="157"/>
      <c r="M14" s="157"/>
      <c r="N14" s="157"/>
      <c r="O14" s="157"/>
      <c r="P14" s="157"/>
      <c r="Q14" s="157"/>
      <c r="R14" s="157"/>
      <c r="S14" s="157"/>
      <c r="T14" s="157"/>
      <c r="U14" s="157"/>
      <c r="V14" s="157"/>
      <c r="W14" s="157"/>
      <c r="X14" s="157"/>
      <c r="Y14" s="157"/>
    </row>
    <row r="15" spans="1:25" ht="15.75" customHeight="1" x14ac:dyDescent="0.2">
      <c r="A15" s="142" t="s">
        <v>81</v>
      </c>
      <c r="B15" s="145">
        <v>0.8</v>
      </c>
      <c r="C15" s="145">
        <v>1.3</v>
      </c>
      <c r="D15" s="143">
        <v>62.5</v>
      </c>
      <c r="E15" s="145">
        <v>0.3</v>
      </c>
      <c r="F15" s="145">
        <v>0.5</v>
      </c>
      <c r="G15" s="143">
        <v>66.7</v>
      </c>
      <c r="H15" s="145">
        <v>38.799999999999997</v>
      </c>
      <c r="I15" s="145">
        <v>38.799999999999997</v>
      </c>
      <c r="J15" s="145">
        <v>0</v>
      </c>
      <c r="K15" s="157"/>
      <c r="L15" s="157"/>
      <c r="M15" s="157"/>
      <c r="N15" s="157"/>
      <c r="O15" s="157"/>
      <c r="P15" s="157"/>
      <c r="Q15" s="157"/>
      <c r="R15" s="157"/>
      <c r="S15" s="157"/>
      <c r="T15" s="157"/>
      <c r="U15" s="157"/>
      <c r="V15" s="157"/>
      <c r="W15" s="157"/>
      <c r="X15" s="157"/>
      <c r="Y15" s="157"/>
    </row>
    <row r="16" spans="1:25" ht="15.75" customHeight="1" x14ac:dyDescent="0.2">
      <c r="A16" s="142" t="s">
        <v>82</v>
      </c>
      <c r="B16" s="145">
        <v>63.2</v>
      </c>
      <c r="C16" s="145">
        <v>45.4</v>
      </c>
      <c r="D16" s="143">
        <v>-28.2</v>
      </c>
      <c r="E16" s="145">
        <v>25.3</v>
      </c>
      <c r="F16" s="145">
        <v>18.2</v>
      </c>
      <c r="G16" s="145">
        <v>-28.1</v>
      </c>
      <c r="H16" s="145">
        <v>40</v>
      </c>
      <c r="I16" s="145">
        <v>40</v>
      </c>
      <c r="J16" s="145">
        <v>0</v>
      </c>
      <c r="K16" s="157"/>
      <c r="L16" s="157"/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</row>
    <row r="17" spans="1:25" ht="15.75" customHeight="1" x14ac:dyDescent="0.2">
      <c r="A17" s="165" t="s">
        <v>83</v>
      </c>
      <c r="B17" s="147">
        <v>2318</v>
      </c>
      <c r="C17" s="147">
        <v>2598.5</v>
      </c>
      <c r="D17" s="147">
        <v>12.1</v>
      </c>
      <c r="E17" s="147">
        <v>970</v>
      </c>
      <c r="F17" s="147">
        <v>1087.0999999999999</v>
      </c>
      <c r="G17" s="147">
        <v>12.1</v>
      </c>
      <c r="H17" s="147">
        <v>41.8</v>
      </c>
      <c r="I17" s="147">
        <v>41.8</v>
      </c>
      <c r="J17" s="147">
        <v>0</v>
      </c>
      <c r="K17" s="157"/>
      <c r="L17" s="157"/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</row>
    <row r="18" spans="1:25" ht="15.75" customHeight="1" x14ac:dyDescent="0.2">
      <c r="A18" s="142" t="s">
        <v>84</v>
      </c>
      <c r="B18" s="145">
        <v>145</v>
      </c>
      <c r="C18" s="145">
        <v>147.19999999999999</v>
      </c>
      <c r="D18" s="143">
        <v>1.5</v>
      </c>
      <c r="E18" s="145">
        <v>59.3</v>
      </c>
      <c r="F18" s="145">
        <v>60.2</v>
      </c>
      <c r="G18" s="145">
        <v>1.5</v>
      </c>
      <c r="H18" s="145">
        <v>40.9</v>
      </c>
      <c r="I18" s="145">
        <v>40.9</v>
      </c>
      <c r="J18" s="145">
        <v>0</v>
      </c>
      <c r="K18" s="157"/>
      <c r="L18" s="157"/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</row>
    <row r="19" spans="1:25" ht="15.75" customHeight="1" x14ac:dyDescent="0.2">
      <c r="A19" s="142" t="s">
        <v>85</v>
      </c>
      <c r="B19" s="145">
        <v>154.4</v>
      </c>
      <c r="C19" s="145">
        <v>225.5</v>
      </c>
      <c r="D19" s="143">
        <v>46</v>
      </c>
      <c r="E19" s="145">
        <v>63.3</v>
      </c>
      <c r="F19" s="145">
        <v>92.5</v>
      </c>
      <c r="G19" s="145">
        <v>46.1</v>
      </c>
      <c r="H19" s="145">
        <v>41</v>
      </c>
      <c r="I19" s="145">
        <v>41</v>
      </c>
      <c r="J19" s="145">
        <v>0</v>
      </c>
      <c r="K19" s="157"/>
      <c r="L19" s="157"/>
      <c r="M19" s="157"/>
      <c r="N19" s="157"/>
      <c r="O19" s="157"/>
      <c r="P19" s="157"/>
      <c r="Q19" s="157"/>
      <c r="R19" s="157"/>
      <c r="S19" s="157"/>
      <c r="T19" s="157"/>
      <c r="U19" s="157"/>
      <c r="V19" s="157"/>
      <c r="W19" s="157"/>
      <c r="X19" s="157"/>
      <c r="Y19" s="157"/>
    </row>
    <row r="20" spans="1:25" ht="15.75" customHeight="1" x14ac:dyDescent="0.2">
      <c r="A20" s="142" t="s">
        <v>86</v>
      </c>
      <c r="B20" s="145">
        <v>4.3</v>
      </c>
      <c r="C20" s="145">
        <v>6.1</v>
      </c>
      <c r="D20" s="143">
        <v>41.9</v>
      </c>
      <c r="E20" s="145">
        <v>1.5</v>
      </c>
      <c r="F20" s="145">
        <v>2.1</v>
      </c>
      <c r="G20" s="145">
        <v>40</v>
      </c>
      <c r="H20" s="145">
        <v>35</v>
      </c>
      <c r="I20" s="145">
        <v>35</v>
      </c>
      <c r="J20" s="145">
        <v>0</v>
      </c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157"/>
      <c r="W20" s="157"/>
      <c r="X20" s="157"/>
      <c r="Y20" s="157"/>
    </row>
    <row r="21" spans="1:25" ht="15.75" customHeight="1" x14ac:dyDescent="0.2">
      <c r="A21" s="142" t="s">
        <v>87</v>
      </c>
      <c r="B21" s="145">
        <v>2.2000000000000002</v>
      </c>
      <c r="C21" s="145">
        <v>1.8</v>
      </c>
      <c r="D21" s="143">
        <v>-18.2</v>
      </c>
      <c r="E21" s="145">
        <v>0.8</v>
      </c>
      <c r="F21" s="145">
        <v>0.7</v>
      </c>
      <c r="G21" s="145">
        <v>-12.5</v>
      </c>
      <c r="H21" s="145">
        <v>38</v>
      </c>
      <c r="I21" s="145">
        <v>38</v>
      </c>
      <c r="J21" s="145">
        <v>0</v>
      </c>
      <c r="K21" s="157"/>
      <c r="L21" s="157"/>
      <c r="M21" s="157"/>
      <c r="N21" s="157"/>
      <c r="O21" s="157"/>
      <c r="P21" s="157"/>
      <c r="Q21" s="157"/>
      <c r="R21" s="157"/>
      <c r="S21" s="157"/>
      <c r="T21" s="157"/>
      <c r="U21" s="157"/>
      <c r="V21" s="157"/>
      <c r="W21" s="157"/>
      <c r="X21" s="157"/>
      <c r="Y21" s="157"/>
    </row>
    <row r="22" spans="1:25" ht="15.75" customHeight="1" x14ac:dyDescent="0.2">
      <c r="A22" s="142" t="s">
        <v>88</v>
      </c>
      <c r="B22" s="145">
        <v>0.3</v>
      </c>
      <c r="C22" s="145">
        <v>0.2</v>
      </c>
      <c r="D22" s="143">
        <v>-33.299999999999997</v>
      </c>
      <c r="E22" s="145">
        <v>0.1</v>
      </c>
      <c r="F22" s="145">
        <v>0.1</v>
      </c>
      <c r="G22" s="145">
        <v>0</v>
      </c>
      <c r="H22" s="145">
        <v>36</v>
      </c>
      <c r="I22" s="145">
        <v>36</v>
      </c>
      <c r="J22" s="145">
        <v>0</v>
      </c>
      <c r="K22" s="157"/>
      <c r="L22" s="157"/>
      <c r="M22" s="157"/>
      <c r="N22" s="157"/>
      <c r="O22" s="157"/>
      <c r="P22" s="157"/>
      <c r="Q22" s="157"/>
      <c r="R22" s="157"/>
      <c r="S22" s="157"/>
      <c r="T22" s="157"/>
      <c r="U22" s="157"/>
      <c r="V22" s="157"/>
      <c r="W22" s="157"/>
      <c r="X22" s="157"/>
      <c r="Y22" s="157"/>
    </row>
    <row r="23" spans="1:25" ht="15.75" hidden="1" customHeight="1" x14ac:dyDescent="0.2">
      <c r="A23" s="142" t="s">
        <v>89</v>
      </c>
      <c r="B23" s="145">
        <v>0</v>
      </c>
      <c r="C23" s="145">
        <v>0</v>
      </c>
      <c r="D23" s="143">
        <v>0</v>
      </c>
      <c r="E23" s="145">
        <v>0</v>
      </c>
      <c r="F23" s="145">
        <v>0</v>
      </c>
      <c r="G23" s="145">
        <v>0</v>
      </c>
      <c r="H23" s="145">
        <v>0</v>
      </c>
      <c r="I23" s="145">
        <v>0</v>
      </c>
      <c r="J23" s="145">
        <v>0</v>
      </c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</row>
    <row r="24" spans="1:25" ht="15.75" hidden="1" customHeight="1" x14ac:dyDescent="0.2">
      <c r="A24" s="142" t="s">
        <v>90</v>
      </c>
      <c r="B24" s="145">
        <v>0</v>
      </c>
      <c r="C24" s="145">
        <v>0</v>
      </c>
      <c r="D24" s="143">
        <v>0</v>
      </c>
      <c r="E24" s="145">
        <v>0</v>
      </c>
      <c r="F24" s="145">
        <v>0</v>
      </c>
      <c r="G24" s="145">
        <v>0</v>
      </c>
      <c r="H24" s="145">
        <v>0</v>
      </c>
      <c r="I24" s="145">
        <v>0</v>
      </c>
      <c r="J24" s="145">
        <v>0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7"/>
      <c r="V24" s="157"/>
      <c r="W24" s="157"/>
      <c r="X24" s="157"/>
      <c r="Y24" s="157"/>
    </row>
    <row r="25" spans="1:25" ht="15.75" hidden="1" customHeight="1" x14ac:dyDescent="0.2">
      <c r="A25" s="142" t="s">
        <v>91</v>
      </c>
      <c r="B25" s="145">
        <v>0</v>
      </c>
      <c r="C25" s="145">
        <v>0</v>
      </c>
      <c r="D25" s="143">
        <v>0</v>
      </c>
      <c r="E25" s="145">
        <v>0</v>
      </c>
      <c r="F25" s="145">
        <v>0</v>
      </c>
      <c r="G25" s="143">
        <v>0</v>
      </c>
      <c r="H25" s="145">
        <v>0</v>
      </c>
      <c r="I25" s="145">
        <v>0</v>
      </c>
      <c r="J25" s="145">
        <v>0</v>
      </c>
      <c r="K25" s="157"/>
      <c r="L25" s="157"/>
      <c r="M25" s="157"/>
      <c r="N25" s="157"/>
      <c r="O25" s="157"/>
      <c r="P25" s="157"/>
      <c r="Q25" s="157"/>
      <c r="R25" s="157"/>
      <c r="S25" s="157"/>
      <c r="T25" s="157"/>
      <c r="U25" s="157"/>
      <c r="V25" s="157"/>
      <c r="W25" s="157"/>
      <c r="X25" s="157"/>
      <c r="Y25" s="157"/>
    </row>
    <row r="26" spans="1:25" ht="15.75" customHeight="1" x14ac:dyDescent="0.2">
      <c r="A26" s="142" t="s">
        <v>92</v>
      </c>
      <c r="B26" s="145">
        <v>2011.8</v>
      </c>
      <c r="C26" s="145">
        <v>2217.6999999999998</v>
      </c>
      <c r="D26" s="143">
        <v>10.199999999999999</v>
      </c>
      <c r="E26" s="145">
        <v>845</v>
      </c>
      <c r="F26" s="145">
        <v>931.5</v>
      </c>
      <c r="G26" s="145">
        <v>10.199999999999999</v>
      </c>
      <c r="H26" s="145">
        <v>42</v>
      </c>
      <c r="I26" s="145">
        <v>42</v>
      </c>
      <c r="J26" s="145">
        <v>0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7"/>
      <c r="V26" s="157"/>
      <c r="W26" s="157"/>
      <c r="X26" s="157"/>
      <c r="Y26" s="157"/>
    </row>
    <row r="27" spans="1:25" ht="15.75" customHeight="1" x14ac:dyDescent="0.2">
      <c r="A27" s="165" t="s">
        <v>93</v>
      </c>
      <c r="B27" s="147">
        <v>7226.1</v>
      </c>
      <c r="C27" s="147">
        <v>7112.7000000000007</v>
      </c>
      <c r="D27" s="147">
        <v>-1.6</v>
      </c>
      <c r="E27" s="147">
        <v>2976.9</v>
      </c>
      <c r="F27" s="147">
        <v>2929.9</v>
      </c>
      <c r="G27" s="147">
        <v>-1.6</v>
      </c>
      <c r="H27" s="147">
        <v>41.2</v>
      </c>
      <c r="I27" s="147">
        <v>41.2</v>
      </c>
      <c r="J27" s="147">
        <v>0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</row>
    <row r="28" spans="1:25" ht="15.75" customHeight="1" x14ac:dyDescent="0.2">
      <c r="A28" s="142" t="s">
        <v>94</v>
      </c>
      <c r="B28" s="145">
        <v>6922.6</v>
      </c>
      <c r="C28" s="145">
        <v>6802.5</v>
      </c>
      <c r="D28" s="143">
        <v>-1.7</v>
      </c>
      <c r="E28" s="145">
        <v>2852.1</v>
      </c>
      <c r="F28" s="145">
        <v>2802.6</v>
      </c>
      <c r="G28" s="145">
        <v>-1.7</v>
      </c>
      <c r="H28" s="145">
        <v>41.2</v>
      </c>
      <c r="I28" s="145">
        <v>41.2</v>
      </c>
      <c r="J28" s="145">
        <v>0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</row>
    <row r="29" spans="1:25" ht="15.75" customHeight="1" x14ac:dyDescent="0.2">
      <c r="A29" s="142" t="s">
        <v>95</v>
      </c>
      <c r="B29" s="145">
        <v>168.6</v>
      </c>
      <c r="C29" s="145">
        <v>160.6</v>
      </c>
      <c r="D29" s="143">
        <v>-4.7</v>
      </c>
      <c r="E29" s="145">
        <v>70.8</v>
      </c>
      <c r="F29" s="145">
        <v>67.400000000000006</v>
      </c>
      <c r="G29" s="145">
        <v>-4.8</v>
      </c>
      <c r="H29" s="145">
        <v>42</v>
      </c>
      <c r="I29" s="145">
        <v>42</v>
      </c>
      <c r="J29" s="145">
        <v>0</v>
      </c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</row>
    <row r="30" spans="1:25" ht="15.75" customHeight="1" x14ac:dyDescent="0.2">
      <c r="A30" s="142" t="s">
        <v>96</v>
      </c>
      <c r="B30" s="145">
        <v>134.9</v>
      </c>
      <c r="C30" s="145">
        <v>149.6</v>
      </c>
      <c r="D30" s="143">
        <v>10.9</v>
      </c>
      <c r="E30" s="145">
        <v>54</v>
      </c>
      <c r="F30" s="145">
        <v>59.9</v>
      </c>
      <c r="G30" s="145">
        <v>10.9</v>
      </c>
      <c r="H30" s="145">
        <v>40</v>
      </c>
      <c r="I30" s="145">
        <v>40</v>
      </c>
      <c r="J30" s="145">
        <v>0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</row>
    <row r="31" spans="1:25" ht="15.75" hidden="1" customHeight="1" x14ac:dyDescent="0.2">
      <c r="A31" s="166" t="s">
        <v>97</v>
      </c>
      <c r="B31" s="167">
        <v>0</v>
      </c>
      <c r="C31" s="167">
        <v>0</v>
      </c>
      <c r="D31" s="168">
        <v>0</v>
      </c>
      <c r="E31" s="167">
        <v>0</v>
      </c>
      <c r="F31" s="167">
        <v>0</v>
      </c>
      <c r="G31" s="167">
        <v>0</v>
      </c>
      <c r="H31" s="167">
        <v>0</v>
      </c>
      <c r="I31" s="167">
        <v>0</v>
      </c>
      <c r="J31" s="167">
        <v>0</v>
      </c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</row>
    <row r="32" spans="1:25" ht="15.75" customHeight="1" x14ac:dyDescent="0.2">
      <c r="A32" s="165" t="s">
        <v>98</v>
      </c>
      <c r="B32" s="147">
        <v>218.9</v>
      </c>
      <c r="C32" s="147">
        <v>225.1</v>
      </c>
      <c r="D32" s="147">
        <v>2.8</v>
      </c>
      <c r="E32" s="147">
        <v>92</v>
      </c>
      <c r="F32" s="147">
        <v>94.6</v>
      </c>
      <c r="G32" s="147">
        <v>2.8</v>
      </c>
      <c r="H32" s="147">
        <v>42</v>
      </c>
      <c r="I32" s="147">
        <v>42</v>
      </c>
      <c r="J32" s="147">
        <v>0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</row>
    <row r="33" spans="1:25" ht="15.75" customHeight="1" x14ac:dyDescent="0.2">
      <c r="A33" s="142" t="s">
        <v>99</v>
      </c>
      <c r="B33" s="145">
        <v>189.4</v>
      </c>
      <c r="C33" s="145">
        <v>195.6</v>
      </c>
      <c r="D33" s="143">
        <v>3.3</v>
      </c>
      <c r="E33" s="145">
        <v>79</v>
      </c>
      <c r="F33" s="145">
        <v>81.599999999999994</v>
      </c>
      <c r="G33" s="145">
        <v>3.3</v>
      </c>
      <c r="H33" s="145">
        <v>41.7</v>
      </c>
      <c r="I33" s="145">
        <v>41.7</v>
      </c>
      <c r="J33" s="145">
        <v>0</v>
      </c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</row>
    <row r="34" spans="1:25" ht="15.75" hidden="1" customHeight="1" x14ac:dyDescent="0.2">
      <c r="A34" s="142" t="s">
        <v>100</v>
      </c>
      <c r="B34" s="145">
        <v>0</v>
      </c>
      <c r="C34" s="145">
        <v>0</v>
      </c>
      <c r="D34" s="143">
        <v>0</v>
      </c>
      <c r="E34" s="145">
        <v>0</v>
      </c>
      <c r="F34" s="145">
        <v>0</v>
      </c>
      <c r="G34" s="143">
        <v>0</v>
      </c>
      <c r="H34" s="145">
        <v>0</v>
      </c>
      <c r="I34" s="145">
        <v>0</v>
      </c>
      <c r="J34" s="145">
        <v>0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</row>
    <row r="35" spans="1:25" ht="15.75" hidden="1" customHeight="1" x14ac:dyDescent="0.2">
      <c r="A35" s="142" t="s">
        <v>101</v>
      </c>
      <c r="B35" s="145">
        <v>0</v>
      </c>
      <c r="C35" s="145">
        <v>0</v>
      </c>
      <c r="D35" s="143">
        <v>0</v>
      </c>
      <c r="E35" s="145">
        <v>0</v>
      </c>
      <c r="F35" s="145">
        <v>0</v>
      </c>
      <c r="G35" s="143">
        <v>0</v>
      </c>
      <c r="H35" s="145">
        <v>0</v>
      </c>
      <c r="I35" s="145">
        <v>0</v>
      </c>
      <c r="J35" s="145">
        <v>0</v>
      </c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</row>
    <row r="36" spans="1:25" ht="15.75" customHeight="1" x14ac:dyDescent="0.2">
      <c r="A36" s="142" t="s">
        <v>102</v>
      </c>
      <c r="B36" s="145">
        <v>29.5</v>
      </c>
      <c r="C36" s="145">
        <v>29.5</v>
      </c>
      <c r="D36" s="143">
        <v>0</v>
      </c>
      <c r="E36" s="145">
        <v>13</v>
      </c>
      <c r="F36" s="145">
        <v>13</v>
      </c>
      <c r="G36" s="145">
        <v>0</v>
      </c>
      <c r="H36" s="145">
        <v>44.2</v>
      </c>
      <c r="I36" s="145">
        <v>44.2</v>
      </c>
      <c r="J36" s="145">
        <v>0</v>
      </c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</row>
    <row r="37" spans="1:25" ht="15.75" customHeight="1" x14ac:dyDescent="0.2">
      <c r="A37" s="165" t="s">
        <v>103</v>
      </c>
      <c r="B37" s="147">
        <v>4.8</v>
      </c>
      <c r="C37" s="147">
        <v>5.3</v>
      </c>
      <c r="D37" s="147">
        <v>10.4</v>
      </c>
      <c r="E37" s="147">
        <v>2</v>
      </c>
      <c r="F37" s="147">
        <v>2.2000000000000002</v>
      </c>
      <c r="G37" s="147">
        <v>10</v>
      </c>
      <c r="H37" s="147">
        <v>41</v>
      </c>
      <c r="I37" s="147">
        <v>41</v>
      </c>
      <c r="J37" s="147">
        <v>0</v>
      </c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</row>
    <row r="38" spans="1:25" ht="15.75" customHeight="1" x14ac:dyDescent="0.2">
      <c r="A38" s="142" t="s">
        <v>104</v>
      </c>
      <c r="B38" s="145">
        <v>4.8</v>
      </c>
      <c r="C38" s="145">
        <v>5.3</v>
      </c>
      <c r="D38" s="143">
        <v>10.4</v>
      </c>
      <c r="E38" s="145">
        <v>2</v>
      </c>
      <c r="F38" s="145">
        <v>2.2000000000000002</v>
      </c>
      <c r="G38" s="145">
        <v>10</v>
      </c>
      <c r="H38" s="145">
        <v>41</v>
      </c>
      <c r="I38" s="145">
        <v>41</v>
      </c>
      <c r="J38" s="145">
        <v>0</v>
      </c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</row>
    <row r="39" spans="1:25" ht="15.75" hidden="1" customHeight="1" x14ac:dyDescent="0.2">
      <c r="A39" s="142" t="s">
        <v>105</v>
      </c>
      <c r="B39" s="145">
        <v>0</v>
      </c>
      <c r="C39" s="145">
        <v>0</v>
      </c>
      <c r="D39" s="143">
        <v>0</v>
      </c>
      <c r="E39" s="145">
        <v>0</v>
      </c>
      <c r="F39" s="145">
        <v>0</v>
      </c>
      <c r="G39" s="145">
        <v>0</v>
      </c>
      <c r="H39" s="145">
        <v>0</v>
      </c>
      <c r="I39" s="145">
        <v>0</v>
      </c>
      <c r="J39" s="145">
        <v>0</v>
      </c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</row>
    <row r="40" spans="1:25" ht="15.75" hidden="1" customHeight="1" x14ac:dyDescent="0.2">
      <c r="A40" s="166" t="s">
        <v>106</v>
      </c>
      <c r="B40" s="167">
        <v>0</v>
      </c>
      <c r="C40" s="167">
        <v>0</v>
      </c>
      <c r="D40" s="168">
        <v>0</v>
      </c>
      <c r="E40" s="167">
        <v>0</v>
      </c>
      <c r="F40" s="167">
        <v>0</v>
      </c>
      <c r="G40" s="167">
        <v>0</v>
      </c>
      <c r="H40" s="167">
        <v>0</v>
      </c>
      <c r="I40" s="167">
        <v>0</v>
      </c>
      <c r="J40" s="167">
        <v>0</v>
      </c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</row>
    <row r="41" spans="1:25" ht="15.75" customHeight="1" x14ac:dyDescent="0.2">
      <c r="A41" s="146" t="s">
        <v>107</v>
      </c>
      <c r="B41" s="147">
        <v>2421.6</v>
      </c>
      <c r="C41" s="147">
        <v>2674.9</v>
      </c>
      <c r="D41" s="147">
        <v>10.5</v>
      </c>
      <c r="E41" s="147">
        <v>1010.6</v>
      </c>
      <c r="F41" s="147">
        <v>1117.0999999999999</v>
      </c>
      <c r="G41" s="147">
        <v>10.5</v>
      </c>
      <c r="H41" s="147">
        <v>41.7</v>
      </c>
      <c r="I41" s="147">
        <v>41.8</v>
      </c>
      <c r="J41" s="147">
        <v>0.2</v>
      </c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</row>
    <row r="42" spans="1:25" ht="15.75" customHeight="1" x14ac:dyDescent="0.2">
      <c r="A42" s="146" t="s">
        <v>108</v>
      </c>
      <c r="B42" s="147">
        <v>7449.8</v>
      </c>
      <c r="C42" s="147">
        <v>7343.1000000000013</v>
      </c>
      <c r="D42" s="147">
        <v>-1.4</v>
      </c>
      <c r="E42" s="147">
        <v>3070.9</v>
      </c>
      <c r="F42" s="147">
        <v>3026.7</v>
      </c>
      <c r="G42" s="147">
        <v>-1.4</v>
      </c>
      <c r="H42" s="147">
        <v>41.2</v>
      </c>
      <c r="I42" s="147">
        <v>41.2</v>
      </c>
      <c r="J42" s="147">
        <v>0</v>
      </c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</row>
    <row r="43" spans="1:25" ht="15.75" customHeight="1" x14ac:dyDescent="0.2">
      <c r="A43" s="149" t="s">
        <v>58</v>
      </c>
      <c r="B43" s="150">
        <v>9871.4</v>
      </c>
      <c r="C43" s="150">
        <v>10018</v>
      </c>
      <c r="D43" s="150">
        <v>1.5</v>
      </c>
      <c r="E43" s="150">
        <v>4081.5</v>
      </c>
      <c r="F43" s="150">
        <v>4143.8</v>
      </c>
      <c r="G43" s="150">
        <v>1.5</v>
      </c>
      <c r="H43" s="150">
        <v>41.3</v>
      </c>
      <c r="I43" s="150">
        <v>41.4</v>
      </c>
      <c r="J43" s="150">
        <v>0.2</v>
      </c>
      <c r="K43" s="157"/>
      <c r="L43" s="157"/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</row>
    <row r="44" spans="1:25" ht="15.75" customHeight="1" x14ac:dyDescent="0.2">
      <c r="A44" s="25" t="s">
        <v>7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25" ht="15.75" customHeight="1" x14ac:dyDescent="0.2">
      <c r="A45" s="25" t="s">
        <v>212</v>
      </c>
      <c r="B45" s="51"/>
      <c r="C45" s="51"/>
      <c r="D45" s="51"/>
      <c r="E45" s="51"/>
      <c r="F45" s="51"/>
      <c r="G45" s="51"/>
      <c r="H45" s="51"/>
      <c r="I45" s="51"/>
      <c r="J45" s="51"/>
    </row>
    <row r="46" spans="1:25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25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25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gridLines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 sqref="A1:J1"/>
    </sheetView>
  </sheetViews>
  <sheetFormatPr defaultColWidth="11.42578125" defaultRowHeight="20.25" customHeight="1" x14ac:dyDescent="0.2"/>
  <cols>
    <col min="1" max="1" width="30.42578125" style="126" customWidth="1"/>
    <col min="2" max="3" width="11.42578125" style="126" customWidth="1"/>
    <col min="4" max="4" width="9.42578125" style="126" bestFit="1" customWidth="1"/>
    <col min="5" max="6" width="11.42578125" style="126" customWidth="1"/>
    <col min="7" max="7" width="8.42578125" style="126" bestFit="1" customWidth="1"/>
    <col min="8" max="9" width="11.42578125" style="126" customWidth="1"/>
    <col min="10" max="10" width="10.42578125" style="126" customWidth="1"/>
    <col min="11" max="18" width="11.42578125" style="126" customWidth="1"/>
  </cols>
  <sheetData>
    <row r="1" spans="1:20" ht="41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.75" customHeight="1" x14ac:dyDescent="0.2">
      <c r="A2" s="451" t="s">
        <v>120</v>
      </c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.75" customHeight="1" x14ac:dyDescent="0.2">
      <c r="A3" s="451" t="s">
        <v>118</v>
      </c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.75" customHeight="1" x14ac:dyDescent="0.2">
      <c r="A4" s="451" t="s">
        <v>0</v>
      </c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1.7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20" ht="20.25" customHeight="1" x14ac:dyDescent="0.2">
      <c r="A6" s="452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20" ht="20.25" customHeight="1" x14ac:dyDescent="0.2">
      <c r="A7" s="453"/>
      <c r="B7" s="172" t="s">
        <v>66</v>
      </c>
      <c r="C7" s="172" t="s">
        <v>67</v>
      </c>
      <c r="D7" s="172" t="s">
        <v>68</v>
      </c>
      <c r="E7" s="172" t="s">
        <v>69</v>
      </c>
      <c r="F7" s="172" t="s">
        <v>70</v>
      </c>
      <c r="G7" s="173" t="s">
        <v>71</v>
      </c>
      <c r="H7" s="174" t="s">
        <v>72</v>
      </c>
      <c r="I7" s="172" t="s">
        <v>73</v>
      </c>
      <c r="J7" s="172" t="s">
        <v>74</v>
      </c>
    </row>
    <row r="8" spans="1:20" ht="15.75" customHeight="1" x14ac:dyDescent="0.2">
      <c r="A8" s="175" t="s">
        <v>75</v>
      </c>
      <c r="B8" s="176">
        <v>0.9</v>
      </c>
      <c r="C8" s="176">
        <v>1.2</v>
      </c>
      <c r="D8" s="176">
        <v>33.299999999999997</v>
      </c>
      <c r="E8" s="177">
        <v>4000</v>
      </c>
      <c r="F8" s="177">
        <v>4000</v>
      </c>
      <c r="G8" s="176">
        <v>0</v>
      </c>
      <c r="H8" s="176">
        <v>3.6</v>
      </c>
      <c r="I8" s="176">
        <v>4.8</v>
      </c>
      <c r="J8" s="176">
        <v>33.299999999999997</v>
      </c>
    </row>
    <row r="9" spans="1:20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0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20" ht="15.75" customHeight="1" x14ac:dyDescent="0.2">
      <c r="A15" s="86" t="s">
        <v>82</v>
      </c>
      <c r="B15" s="87">
        <v>0.9</v>
      </c>
      <c r="C15" s="87">
        <v>1.2</v>
      </c>
      <c r="D15" s="87">
        <v>33.299999999999997</v>
      </c>
      <c r="E15" s="88">
        <v>4000</v>
      </c>
      <c r="F15" s="88">
        <v>4000</v>
      </c>
      <c r="G15" s="87">
        <v>0</v>
      </c>
      <c r="H15" s="87">
        <v>3.6</v>
      </c>
      <c r="I15" s="87">
        <v>4.8</v>
      </c>
      <c r="J15" s="87">
        <v>33.299999999999997</v>
      </c>
      <c r="S15" s="126"/>
      <c r="T15" s="126"/>
    </row>
    <row r="16" spans="1:20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20" ht="15.75" hidden="1" customHeight="1" x14ac:dyDescent="0.2">
      <c r="A17" s="142" t="s">
        <v>84</v>
      </c>
      <c r="B17" s="143">
        <v>0</v>
      </c>
      <c r="C17" s="143">
        <v>0</v>
      </c>
      <c r="D17" s="145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.75" hidden="1" customHeight="1" x14ac:dyDescent="0.2">
      <c r="A18" s="142" t="s">
        <v>85</v>
      </c>
      <c r="B18" s="143">
        <v>0</v>
      </c>
      <c r="C18" s="143">
        <v>0</v>
      </c>
      <c r="D18" s="145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.75" hidden="1" customHeight="1" x14ac:dyDescent="0.2">
      <c r="A19" s="142" t="s">
        <v>86</v>
      </c>
      <c r="B19" s="143">
        <v>0</v>
      </c>
      <c r="C19" s="143">
        <v>0</v>
      </c>
      <c r="D19" s="145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5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hidden="1" customHeight="1" x14ac:dyDescent="0.2">
      <c r="A21" s="142" t="s">
        <v>88</v>
      </c>
      <c r="B21" s="143">
        <v>0</v>
      </c>
      <c r="C21" s="143">
        <v>0</v>
      </c>
      <c r="D21" s="145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hidden="1" customHeight="1" x14ac:dyDescent="0.2">
      <c r="A22" s="142" t="s">
        <v>89</v>
      </c>
      <c r="B22" s="143">
        <v>0</v>
      </c>
      <c r="C22" s="143">
        <v>0</v>
      </c>
      <c r="D22" s="145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.75" hidden="1" customHeight="1" x14ac:dyDescent="0.2">
      <c r="A23" s="142" t="s">
        <v>90</v>
      </c>
      <c r="B23" s="143">
        <v>0</v>
      </c>
      <c r="C23" s="143">
        <v>0</v>
      </c>
      <c r="D23" s="145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.75" hidden="1" customHeight="1" x14ac:dyDescent="0.2">
      <c r="A24" s="142" t="s">
        <v>91</v>
      </c>
      <c r="B24" s="143">
        <v>0</v>
      </c>
      <c r="C24" s="143">
        <v>0</v>
      </c>
      <c r="D24" s="145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hidden="1" customHeight="1" x14ac:dyDescent="0.2">
      <c r="A25" s="142" t="s">
        <v>92</v>
      </c>
      <c r="B25" s="182">
        <v>0</v>
      </c>
      <c r="C25" s="182">
        <v>0</v>
      </c>
      <c r="D25" s="183">
        <v>0</v>
      </c>
      <c r="E25" s="184">
        <v>0</v>
      </c>
      <c r="F25" s="184">
        <v>0</v>
      </c>
      <c r="G25" s="183">
        <v>0</v>
      </c>
      <c r="H25" s="182">
        <v>0</v>
      </c>
      <c r="I25" s="182">
        <v>0</v>
      </c>
      <c r="J25" s="182">
        <v>0</v>
      </c>
    </row>
    <row r="26" spans="1:20" ht="15.75" customHeight="1" x14ac:dyDescent="0.2">
      <c r="A26" s="165" t="s">
        <v>93</v>
      </c>
      <c r="B26" s="147">
        <v>43.5</v>
      </c>
      <c r="C26" s="147">
        <v>45.8</v>
      </c>
      <c r="D26" s="147">
        <v>5.3</v>
      </c>
      <c r="E26" s="185">
        <v>3992</v>
      </c>
      <c r="F26" s="185">
        <v>4020.0000000000005</v>
      </c>
      <c r="G26" s="147">
        <v>0.7</v>
      </c>
      <c r="H26" s="147">
        <v>173.7</v>
      </c>
      <c r="I26" s="147">
        <v>184.1</v>
      </c>
      <c r="J26" s="147">
        <v>6</v>
      </c>
    </row>
    <row r="27" spans="1:20" ht="15.75" hidden="1" customHeight="1" x14ac:dyDescent="0.2">
      <c r="A27" s="142" t="s">
        <v>94</v>
      </c>
      <c r="B27" s="145">
        <v>0</v>
      </c>
      <c r="C27" s="145">
        <v>0</v>
      </c>
      <c r="D27" s="143">
        <v>0</v>
      </c>
      <c r="E27" s="186">
        <v>0</v>
      </c>
      <c r="F27" s="186">
        <v>0</v>
      </c>
      <c r="G27" s="145">
        <v>0</v>
      </c>
      <c r="H27" s="145">
        <v>0</v>
      </c>
      <c r="I27" s="145">
        <v>0</v>
      </c>
      <c r="J27" s="145">
        <v>0</v>
      </c>
    </row>
    <row r="28" spans="1:20" ht="15.75" customHeight="1" x14ac:dyDescent="0.2">
      <c r="A28" s="86" t="s">
        <v>95</v>
      </c>
      <c r="B28" s="87">
        <v>43.5</v>
      </c>
      <c r="C28" s="87">
        <v>45.8</v>
      </c>
      <c r="D28" s="87">
        <v>5.3</v>
      </c>
      <c r="E28" s="88">
        <v>3992</v>
      </c>
      <c r="F28" s="88">
        <v>4020</v>
      </c>
      <c r="G28" s="87">
        <v>0.7</v>
      </c>
      <c r="H28" s="87">
        <v>173.7</v>
      </c>
      <c r="I28" s="87">
        <v>184.1</v>
      </c>
      <c r="J28" s="87">
        <v>6</v>
      </c>
      <c r="S28" s="126"/>
      <c r="T28" s="126"/>
    </row>
    <row r="29" spans="1:20" ht="15.75" hidden="1" customHeight="1" x14ac:dyDescent="0.2">
      <c r="A29" s="142" t="s">
        <v>96</v>
      </c>
      <c r="B29" s="145">
        <v>0</v>
      </c>
      <c r="C29" s="145">
        <v>0</v>
      </c>
      <c r="D29" s="143">
        <v>0</v>
      </c>
      <c r="E29" s="186">
        <v>0</v>
      </c>
      <c r="F29" s="186">
        <v>0</v>
      </c>
      <c r="G29" s="145">
        <v>0</v>
      </c>
      <c r="H29" s="145">
        <v>0</v>
      </c>
      <c r="I29" s="145">
        <v>0</v>
      </c>
      <c r="J29" s="145">
        <v>0</v>
      </c>
    </row>
    <row r="30" spans="1:20" ht="15.75" hidden="1" customHeight="1" x14ac:dyDescent="0.2">
      <c r="A30" s="166" t="s">
        <v>97</v>
      </c>
      <c r="B30" s="167">
        <v>0</v>
      </c>
      <c r="C30" s="167">
        <v>0</v>
      </c>
      <c r="D30" s="168">
        <v>0</v>
      </c>
      <c r="E30" s="187">
        <v>0</v>
      </c>
      <c r="F30" s="187">
        <v>0</v>
      </c>
      <c r="G30" s="167">
        <v>0</v>
      </c>
      <c r="H30" s="167">
        <v>0</v>
      </c>
      <c r="I30" s="167">
        <v>0</v>
      </c>
      <c r="J30" s="167">
        <v>0</v>
      </c>
    </row>
    <row r="31" spans="1:20" ht="15.75" customHeight="1" x14ac:dyDescent="0.2">
      <c r="A31" s="165" t="s">
        <v>98</v>
      </c>
      <c r="B31" s="147">
        <v>226.6</v>
      </c>
      <c r="C31" s="147">
        <v>226.3</v>
      </c>
      <c r="D31" s="147">
        <v>-0.1</v>
      </c>
      <c r="E31" s="185">
        <v>4254.4395410414827</v>
      </c>
      <c r="F31" s="185">
        <v>4757.9478568272207</v>
      </c>
      <c r="G31" s="147">
        <v>11.8</v>
      </c>
      <c r="H31" s="147">
        <v>964</v>
      </c>
      <c r="I31" s="147">
        <v>1076.7</v>
      </c>
      <c r="J31" s="147">
        <v>11.7</v>
      </c>
    </row>
    <row r="32" spans="1:20" ht="15.75" customHeight="1" x14ac:dyDescent="0.2">
      <c r="A32" s="86" t="s">
        <v>99</v>
      </c>
      <c r="B32" s="87">
        <v>14.5</v>
      </c>
      <c r="C32" s="87">
        <v>16.3</v>
      </c>
      <c r="D32" s="87">
        <v>12.4</v>
      </c>
      <c r="E32" s="88">
        <v>3588</v>
      </c>
      <c r="F32" s="88">
        <v>3572</v>
      </c>
      <c r="G32" s="87">
        <v>-0.4</v>
      </c>
      <c r="H32" s="87">
        <v>52</v>
      </c>
      <c r="I32" s="87">
        <v>58.2</v>
      </c>
      <c r="J32" s="87">
        <v>11.9</v>
      </c>
      <c r="S32" s="126"/>
      <c r="T32" s="126"/>
    </row>
    <row r="33" spans="1:20" ht="15.75" hidden="1" customHeight="1" x14ac:dyDescent="0.2">
      <c r="A33" s="188" t="s">
        <v>100</v>
      </c>
      <c r="B33" s="145">
        <v>0</v>
      </c>
      <c r="C33" s="145">
        <v>0</v>
      </c>
      <c r="D33" s="143"/>
      <c r="E33" s="186">
        <v>0</v>
      </c>
      <c r="F33" s="186">
        <v>0</v>
      </c>
      <c r="G33" s="143">
        <v>0</v>
      </c>
      <c r="H33" s="145">
        <v>0</v>
      </c>
      <c r="I33" s="145">
        <v>0</v>
      </c>
      <c r="J33" s="145">
        <v>0</v>
      </c>
    </row>
    <row r="34" spans="1:20" ht="15.75" hidden="1" customHeight="1" x14ac:dyDescent="0.2">
      <c r="A34" s="188" t="s">
        <v>101</v>
      </c>
      <c r="B34" s="145">
        <v>0</v>
      </c>
      <c r="C34" s="145">
        <v>0</v>
      </c>
      <c r="D34" s="143"/>
      <c r="E34" s="186">
        <v>0</v>
      </c>
      <c r="F34" s="186">
        <v>0</v>
      </c>
      <c r="G34" s="143">
        <v>0</v>
      </c>
      <c r="H34" s="145">
        <v>0</v>
      </c>
      <c r="I34" s="145">
        <v>0</v>
      </c>
      <c r="J34" s="145">
        <v>0</v>
      </c>
    </row>
    <row r="35" spans="1:20" ht="15.75" customHeight="1" x14ac:dyDescent="0.2">
      <c r="A35" s="86" t="s">
        <v>102</v>
      </c>
      <c r="B35" s="87">
        <v>212.1</v>
      </c>
      <c r="C35" s="87">
        <v>210</v>
      </c>
      <c r="D35" s="87">
        <v>-1</v>
      </c>
      <c r="E35" s="88">
        <v>4300</v>
      </c>
      <c r="F35" s="88">
        <v>4850</v>
      </c>
      <c r="G35" s="87">
        <v>12.8</v>
      </c>
      <c r="H35" s="87">
        <v>912</v>
      </c>
      <c r="I35" s="87">
        <v>1018.5</v>
      </c>
      <c r="J35" s="87">
        <v>11.7</v>
      </c>
      <c r="S35" s="126"/>
      <c r="T35" s="126"/>
    </row>
    <row r="36" spans="1:20" ht="15.75" customHeight="1" x14ac:dyDescent="0.2">
      <c r="A36" s="165" t="s">
        <v>103</v>
      </c>
      <c r="B36" s="147">
        <v>2.1</v>
      </c>
      <c r="C36" s="147">
        <v>1.5</v>
      </c>
      <c r="D36" s="147">
        <v>-28.6</v>
      </c>
      <c r="E36" s="185">
        <v>2989</v>
      </c>
      <c r="F36" s="185">
        <v>2720</v>
      </c>
      <c r="G36" s="147">
        <v>-9</v>
      </c>
      <c r="H36" s="147">
        <v>6.3</v>
      </c>
      <c r="I36" s="147">
        <v>4.0999999999999996</v>
      </c>
      <c r="J36" s="147">
        <v>-34.9</v>
      </c>
    </row>
    <row r="37" spans="1:20" ht="15.75" customHeight="1" x14ac:dyDescent="0.2">
      <c r="A37" s="142" t="s">
        <v>104</v>
      </c>
      <c r="B37" s="143">
        <v>2.1</v>
      </c>
      <c r="C37" s="143">
        <v>1.5</v>
      </c>
      <c r="D37" s="143">
        <v>-28.6</v>
      </c>
      <c r="E37" s="144">
        <v>2989</v>
      </c>
      <c r="F37" s="144">
        <v>2720</v>
      </c>
      <c r="G37" s="145">
        <v>-9</v>
      </c>
      <c r="H37" s="143">
        <v>6.3</v>
      </c>
      <c r="I37" s="143">
        <v>4.0999999999999996</v>
      </c>
      <c r="J37" s="143">
        <v>-34.9</v>
      </c>
      <c r="S37" s="126"/>
      <c r="T37" s="126"/>
    </row>
    <row r="38" spans="1:20" ht="15.75" hidden="1" customHeight="1" x14ac:dyDescent="0.2">
      <c r="A38" s="142" t="s">
        <v>105</v>
      </c>
      <c r="B38" s="145">
        <v>0</v>
      </c>
      <c r="C38" s="145">
        <v>0</v>
      </c>
      <c r="D38" s="143"/>
      <c r="E38" s="186">
        <v>0</v>
      </c>
      <c r="F38" s="186">
        <v>0</v>
      </c>
      <c r="G38" s="145">
        <v>0</v>
      </c>
      <c r="H38" s="145">
        <v>0</v>
      </c>
      <c r="I38" s="145">
        <v>0</v>
      </c>
      <c r="J38" s="145">
        <v>0</v>
      </c>
    </row>
    <row r="39" spans="1:2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20" ht="15.75" customHeight="1" x14ac:dyDescent="0.2">
      <c r="A40" s="146" t="s">
        <v>107</v>
      </c>
      <c r="B40" s="147">
        <v>0.9</v>
      </c>
      <c r="C40" s="147">
        <v>1.2</v>
      </c>
      <c r="D40" s="147">
        <v>33.299999999999997</v>
      </c>
      <c r="E40" s="185">
        <v>4000</v>
      </c>
      <c r="F40" s="185">
        <v>4000</v>
      </c>
      <c r="G40" s="147">
        <v>0</v>
      </c>
      <c r="H40" s="147">
        <v>3.6</v>
      </c>
      <c r="I40" s="147">
        <v>4.8</v>
      </c>
      <c r="J40" s="147">
        <v>33.299999999999997</v>
      </c>
    </row>
    <row r="41" spans="1:20" ht="15.75" customHeight="1" x14ac:dyDescent="0.2">
      <c r="A41" s="146" t="s">
        <v>108</v>
      </c>
      <c r="B41" s="147">
        <v>272.20000000000005</v>
      </c>
      <c r="C41" s="147">
        <v>273.60000000000002</v>
      </c>
      <c r="D41" s="147">
        <v>0.5</v>
      </c>
      <c r="E41" s="185">
        <v>4202.7365907420999</v>
      </c>
      <c r="F41" s="185">
        <v>4623.2441520467837</v>
      </c>
      <c r="G41" s="147">
        <v>10</v>
      </c>
      <c r="H41" s="147">
        <v>1144</v>
      </c>
      <c r="I41" s="147">
        <v>1264.8999999999999</v>
      </c>
      <c r="J41" s="147">
        <v>10.6</v>
      </c>
    </row>
    <row r="42" spans="1:20" ht="15.75" customHeight="1" x14ac:dyDescent="0.2">
      <c r="A42" s="149" t="s">
        <v>58</v>
      </c>
      <c r="B42" s="150">
        <v>273.10000000000002</v>
      </c>
      <c r="C42" s="150">
        <v>274.8</v>
      </c>
      <c r="D42" s="150">
        <v>0.6</v>
      </c>
      <c r="E42" s="189">
        <v>4202.0684730867806</v>
      </c>
      <c r="F42" s="189">
        <v>4620.522561863173</v>
      </c>
      <c r="G42" s="150">
        <v>10</v>
      </c>
      <c r="H42" s="150">
        <v>1147.5999999999999</v>
      </c>
      <c r="I42" s="150">
        <v>1269.6999999999998</v>
      </c>
      <c r="J42" s="150">
        <v>10.6</v>
      </c>
    </row>
    <row r="43" spans="1:2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212</v>
      </c>
    </row>
    <row r="45" spans="1:20" ht="20.25" customHeight="1" x14ac:dyDescent="0.2">
      <c r="C45" s="193"/>
    </row>
    <row r="47" spans="1:20" ht="20.25" customHeight="1" x14ac:dyDescent="0.2">
      <c r="A47" s="129"/>
      <c r="H47" s="129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79" customWidth="1"/>
    <col min="4" max="4" width="7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9.42578125" style="126" customWidth="1"/>
    <col min="11" max="20" width="11.42578125" style="126" customWidth="1"/>
  </cols>
  <sheetData>
    <row r="1" spans="1:10" ht="36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 t="s">
        <v>121</v>
      </c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 t="s">
        <v>118</v>
      </c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 t="s">
        <v>0</v>
      </c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1.7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" ht="20.25" customHeight="1" x14ac:dyDescent="0.2">
      <c r="A6" s="452"/>
      <c r="B6" s="195" t="s">
        <v>2</v>
      </c>
      <c r="C6" s="195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95" t="s">
        <v>5</v>
      </c>
      <c r="J6" s="170" t="s">
        <v>65</v>
      </c>
    </row>
    <row r="7" spans="1:10" ht="20.25" hidden="1" customHeight="1" x14ac:dyDescent="0.2">
      <c r="A7" s="452"/>
      <c r="B7" s="195" t="s">
        <v>66</v>
      </c>
      <c r="C7" s="195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03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3.9</v>
      </c>
      <c r="C16" s="147">
        <v>3.7</v>
      </c>
      <c r="D16" s="147">
        <v>-5.0999999999999996</v>
      </c>
      <c r="E16" s="148">
        <v>994.74358974358972</v>
      </c>
      <c r="F16" s="148">
        <v>1005.3243243243244</v>
      </c>
      <c r="G16" s="147">
        <v>1.1000000000000001</v>
      </c>
      <c r="H16" s="147">
        <v>3.8</v>
      </c>
      <c r="I16" s="147">
        <v>3.7</v>
      </c>
      <c r="J16" s="147">
        <v>-2.6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86" t="s">
        <v>86</v>
      </c>
      <c r="B19" s="87">
        <v>0.6</v>
      </c>
      <c r="C19" s="87">
        <v>0.6</v>
      </c>
      <c r="D19" s="87">
        <v>0</v>
      </c>
      <c r="E19" s="88">
        <v>911</v>
      </c>
      <c r="F19" s="88">
        <v>1125</v>
      </c>
      <c r="G19" s="87">
        <v>23.5</v>
      </c>
      <c r="H19" s="87">
        <v>0.5</v>
      </c>
      <c r="I19" s="87">
        <v>0.7</v>
      </c>
      <c r="J19" s="87">
        <v>40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86" t="s">
        <v>88</v>
      </c>
      <c r="B21" s="87">
        <v>0.7</v>
      </c>
      <c r="C21" s="87">
        <v>0.5</v>
      </c>
      <c r="D21" s="87">
        <v>-28.6</v>
      </c>
      <c r="E21" s="88">
        <v>761</v>
      </c>
      <c r="F21" s="88">
        <v>593</v>
      </c>
      <c r="G21" s="87">
        <v>-22.1</v>
      </c>
      <c r="H21" s="87">
        <v>0.5</v>
      </c>
      <c r="I21" s="87">
        <v>0.3</v>
      </c>
      <c r="J21" s="87">
        <v>-40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2.6</v>
      </c>
      <c r="C25" s="143">
        <v>2.6</v>
      </c>
      <c r="D25" s="143">
        <v>0</v>
      </c>
      <c r="E25" s="144">
        <v>1077</v>
      </c>
      <c r="F25" s="144">
        <v>1057</v>
      </c>
      <c r="G25" s="145">
        <v>-1.9</v>
      </c>
      <c r="H25" s="143">
        <v>2.8</v>
      </c>
      <c r="I25" s="143">
        <v>2.7</v>
      </c>
      <c r="J25" s="143">
        <v>-3.6</v>
      </c>
    </row>
    <row r="26" spans="1:10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3.4</v>
      </c>
      <c r="C31" s="147">
        <v>3.4</v>
      </c>
      <c r="D31" s="147">
        <v>0</v>
      </c>
      <c r="E31" s="148">
        <v>2427.9999999999995</v>
      </c>
      <c r="F31" s="148">
        <v>2455</v>
      </c>
      <c r="G31" s="147">
        <v>1.1000000000000001</v>
      </c>
      <c r="H31" s="147">
        <v>8.3000000000000007</v>
      </c>
      <c r="I31" s="147">
        <v>8.3000000000000007</v>
      </c>
      <c r="J31" s="147">
        <v>0</v>
      </c>
    </row>
    <row r="32" spans="1:1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86" t="s">
        <v>102</v>
      </c>
      <c r="B35" s="87">
        <v>3.4</v>
      </c>
      <c r="C35" s="87">
        <v>3.4</v>
      </c>
      <c r="D35" s="87">
        <v>0</v>
      </c>
      <c r="E35" s="88">
        <v>2428</v>
      </c>
      <c r="F35" s="88">
        <v>2455</v>
      </c>
      <c r="G35" s="87">
        <v>1.1000000000000001</v>
      </c>
      <c r="H35" s="87">
        <v>8.3000000000000007</v>
      </c>
      <c r="I35" s="87">
        <v>8.3000000000000007</v>
      </c>
      <c r="J35" s="87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3.9</v>
      </c>
      <c r="C40" s="147">
        <v>3.7</v>
      </c>
      <c r="D40" s="147">
        <v>-5.0999999999999996</v>
      </c>
      <c r="E40" s="148">
        <v>994.74358974358972</v>
      </c>
      <c r="F40" s="148">
        <v>1005.3243243243244</v>
      </c>
      <c r="G40" s="147">
        <v>1.1000000000000001</v>
      </c>
      <c r="H40" s="147">
        <v>3.8</v>
      </c>
      <c r="I40" s="147">
        <v>3.7</v>
      </c>
      <c r="J40" s="147">
        <v>-2.6</v>
      </c>
    </row>
    <row r="41" spans="1:10" ht="15.75" customHeight="1" x14ac:dyDescent="0.2">
      <c r="A41" s="146" t="s">
        <v>108</v>
      </c>
      <c r="B41" s="147">
        <v>3.4</v>
      </c>
      <c r="C41" s="147">
        <v>3.4</v>
      </c>
      <c r="D41" s="147">
        <v>0</v>
      </c>
      <c r="E41" s="148">
        <v>2427.9999999999995</v>
      </c>
      <c r="F41" s="148">
        <v>2455</v>
      </c>
      <c r="G41" s="147">
        <v>1.1000000000000001</v>
      </c>
      <c r="H41" s="147">
        <v>8.3000000000000007</v>
      </c>
      <c r="I41" s="147">
        <v>8.3000000000000007</v>
      </c>
      <c r="J41" s="147">
        <v>0</v>
      </c>
    </row>
    <row r="42" spans="1:10" ht="15.75" customHeight="1" x14ac:dyDescent="0.2">
      <c r="A42" s="149" t="s">
        <v>58</v>
      </c>
      <c r="B42" s="150">
        <v>7.3</v>
      </c>
      <c r="C42" s="150">
        <v>7.1</v>
      </c>
      <c r="D42" s="150">
        <v>-2.7</v>
      </c>
      <c r="E42" s="151">
        <v>1662.2876712328766</v>
      </c>
      <c r="F42" s="151">
        <v>1699.5352112676057</v>
      </c>
      <c r="G42" s="150">
        <v>2.2000000000000002</v>
      </c>
      <c r="H42" s="150">
        <v>12.100000000000001</v>
      </c>
      <c r="I42" s="150">
        <v>12</v>
      </c>
      <c r="J42" s="150">
        <v>-0.8</v>
      </c>
    </row>
    <row r="43" spans="1:10" ht="15.75" customHeight="1" x14ac:dyDescent="0.2">
      <c r="A43" s="190" t="s">
        <v>7</v>
      </c>
      <c r="B43" s="178"/>
      <c r="C43" s="178"/>
      <c r="D43" s="191"/>
      <c r="E43" s="207"/>
      <c r="F43" s="191"/>
      <c r="G43" s="191"/>
      <c r="H43" s="191"/>
      <c r="I43" s="191"/>
      <c r="J43" s="191"/>
    </row>
    <row r="44" spans="1:10" ht="15.75" customHeight="1" x14ac:dyDescent="0.2">
      <c r="A44" s="192" t="s">
        <v>212</v>
      </c>
      <c r="E44" s="208"/>
    </row>
    <row r="45" spans="1:10" ht="20.25" customHeight="1" x14ac:dyDescent="0.2">
      <c r="C45" s="209"/>
      <c r="E45" s="208"/>
    </row>
    <row r="52" spans="6:6" ht="20.25" customHeight="1" x14ac:dyDescent="0.2">
      <c r="F52" s="10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showGridLines="0" zoomScale="85" zoomScaleNormal="85" workbookViewId="0">
      <pane xSplit="1" ySplit="15" topLeftCell="B1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2" width="13.42578125" style="1" customWidth="1"/>
    <col min="3" max="3" width="14.42578125" style="1" customWidth="1"/>
    <col min="4" max="4" width="10.42578125" style="1" customWidth="1"/>
    <col min="5" max="6" width="11.42578125" style="1" customWidth="1"/>
    <col min="7" max="7" width="10.42578125" style="1" customWidth="1"/>
    <col min="8" max="9" width="11.42578125" style="1" customWidth="1"/>
    <col min="10" max="10" width="9.42578125" style="1" customWidth="1"/>
    <col min="11" max="17" width="11.42578125" style="1" customWidth="1"/>
  </cols>
  <sheetData>
    <row r="1" spans="1:10" ht="30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 t="s">
        <v>122</v>
      </c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 t="s">
        <v>118</v>
      </c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 t="s">
        <v>0</v>
      </c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55" t="s">
        <v>61</v>
      </c>
      <c r="B5" s="457" t="s">
        <v>62</v>
      </c>
      <c r="C5" s="457"/>
      <c r="D5" s="457"/>
      <c r="E5" s="455" t="s">
        <v>63</v>
      </c>
      <c r="F5" s="455"/>
      <c r="G5" s="455"/>
      <c r="H5" s="457" t="s">
        <v>64</v>
      </c>
      <c r="I5" s="457"/>
      <c r="J5" s="457"/>
    </row>
    <row r="6" spans="1:10" ht="20.25" customHeight="1" x14ac:dyDescent="0.2">
      <c r="A6" s="455"/>
      <c r="B6" s="210" t="s">
        <v>2</v>
      </c>
      <c r="C6" s="210" t="s">
        <v>5</v>
      </c>
      <c r="D6" s="210" t="s">
        <v>65</v>
      </c>
      <c r="E6" s="210" t="s">
        <v>2</v>
      </c>
      <c r="F6" s="210" t="s">
        <v>5</v>
      </c>
      <c r="G6" s="210" t="s">
        <v>65</v>
      </c>
      <c r="H6" s="210" t="s">
        <v>2</v>
      </c>
      <c r="I6" s="210" t="s">
        <v>5</v>
      </c>
      <c r="J6" s="210" t="s">
        <v>65</v>
      </c>
    </row>
    <row r="7" spans="1:10" ht="20.25" customHeight="1" x14ac:dyDescent="0.2">
      <c r="A7" s="456"/>
      <c r="B7" s="211" t="s">
        <v>66</v>
      </c>
      <c r="C7" s="212" t="s">
        <v>67</v>
      </c>
      <c r="D7" s="213" t="s">
        <v>68</v>
      </c>
      <c r="E7" s="214" t="s">
        <v>69</v>
      </c>
      <c r="F7" s="214" t="s">
        <v>70</v>
      </c>
      <c r="G7" s="212" t="s">
        <v>71</v>
      </c>
      <c r="H7" s="212" t="s">
        <v>72</v>
      </c>
      <c r="I7" s="213" t="s">
        <v>73</v>
      </c>
      <c r="J7" s="212" t="s">
        <v>74</v>
      </c>
    </row>
    <row r="8" spans="1:10" ht="15.75" hidden="1" customHeight="1" x14ac:dyDescent="0.2">
      <c r="A8" s="215" t="s">
        <v>75</v>
      </c>
      <c r="B8" s="216">
        <v>0.9</v>
      </c>
      <c r="C8" s="216">
        <v>1.2</v>
      </c>
      <c r="D8" s="216">
        <v>33.299999999999997</v>
      </c>
      <c r="E8" s="217">
        <v>4000</v>
      </c>
      <c r="F8" s="217">
        <v>4000</v>
      </c>
      <c r="G8" s="216">
        <v>0</v>
      </c>
      <c r="H8" s="216">
        <v>3.6</v>
      </c>
      <c r="I8" s="216">
        <v>4.8</v>
      </c>
      <c r="J8" s="216">
        <v>33.299999999999997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218">
        <v>0</v>
      </c>
      <c r="F9" s="218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218">
        <v>0</v>
      </c>
      <c r="F10" s="218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218">
        <v>0</v>
      </c>
      <c r="F11" s="218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218">
        <v>0</v>
      </c>
      <c r="F12" s="218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218">
        <v>0</v>
      </c>
      <c r="F13" s="218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218">
        <v>0</v>
      </c>
      <c r="F14" s="218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0.9</v>
      </c>
      <c r="C15" s="143">
        <v>1.2</v>
      </c>
      <c r="D15" s="219">
        <v>33.299999999999997</v>
      </c>
      <c r="E15" s="218">
        <v>4000</v>
      </c>
      <c r="F15" s="218">
        <v>4000</v>
      </c>
      <c r="G15" s="145">
        <v>0</v>
      </c>
      <c r="H15" s="143">
        <v>3.6</v>
      </c>
      <c r="I15" s="143">
        <v>4.8</v>
      </c>
      <c r="J15" s="143">
        <v>33.299999999999997</v>
      </c>
    </row>
    <row r="16" spans="1:10" ht="15.75" customHeight="1" x14ac:dyDescent="0.2">
      <c r="A16" s="146" t="s">
        <v>83</v>
      </c>
      <c r="B16" s="147">
        <v>3.9</v>
      </c>
      <c r="C16" s="147">
        <v>3.7</v>
      </c>
      <c r="D16" s="147">
        <v>-5.0999999999999996</v>
      </c>
      <c r="E16" s="148">
        <v>994.74358974358972</v>
      </c>
      <c r="F16" s="148">
        <v>1005.3243243243244</v>
      </c>
      <c r="G16" s="147">
        <v>1.1000000000000001</v>
      </c>
      <c r="H16" s="147">
        <v>3.8</v>
      </c>
      <c r="I16" s="147">
        <v>3.7</v>
      </c>
      <c r="J16" s="147">
        <v>-2.6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218">
        <v>0</v>
      </c>
      <c r="F17" s="218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218">
        <v>0</v>
      </c>
      <c r="F18" s="218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5">
        <v>0.6</v>
      </c>
      <c r="C19" s="145">
        <v>0.6</v>
      </c>
      <c r="D19" s="143">
        <v>0</v>
      </c>
      <c r="E19" s="186">
        <v>911.00000000000011</v>
      </c>
      <c r="F19" s="186">
        <v>1125</v>
      </c>
      <c r="G19" s="145">
        <v>23.5</v>
      </c>
      <c r="H19" s="145">
        <v>0.5</v>
      </c>
      <c r="I19" s="145">
        <v>0.7</v>
      </c>
      <c r="J19" s="145">
        <v>40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218">
        <v>0</v>
      </c>
      <c r="F20" s="218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5">
        <v>0.7</v>
      </c>
      <c r="C21" s="145">
        <v>0.5</v>
      </c>
      <c r="D21" s="143">
        <v>-28.6</v>
      </c>
      <c r="E21" s="186">
        <v>761</v>
      </c>
      <c r="F21" s="186">
        <v>593</v>
      </c>
      <c r="G21" s="145">
        <v>-22.1</v>
      </c>
      <c r="H21" s="145">
        <v>0.5</v>
      </c>
      <c r="I21" s="145">
        <v>0.3</v>
      </c>
      <c r="J21" s="145">
        <v>-40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218">
        <v>0</v>
      </c>
      <c r="F22" s="218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218">
        <v>0</v>
      </c>
      <c r="F23" s="218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218">
        <v>0</v>
      </c>
      <c r="F24" s="218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5">
        <v>2.6</v>
      </c>
      <c r="C25" s="145">
        <v>2.6</v>
      </c>
      <c r="D25" s="143">
        <v>0</v>
      </c>
      <c r="E25" s="186">
        <v>1077</v>
      </c>
      <c r="F25" s="186">
        <v>1057</v>
      </c>
      <c r="G25" s="145">
        <v>-1.9</v>
      </c>
      <c r="H25" s="145">
        <v>2.8</v>
      </c>
      <c r="I25" s="145">
        <v>2.7</v>
      </c>
      <c r="J25" s="145">
        <v>-3.6</v>
      </c>
    </row>
    <row r="26" spans="1:10" ht="15.75" customHeight="1" x14ac:dyDescent="0.2">
      <c r="A26" s="146" t="s">
        <v>93</v>
      </c>
      <c r="B26" s="147">
        <v>43.5</v>
      </c>
      <c r="C26" s="147">
        <v>45.8</v>
      </c>
      <c r="D26" s="147">
        <v>5.3</v>
      </c>
      <c r="E26" s="148">
        <v>3992</v>
      </c>
      <c r="F26" s="148">
        <v>4020.0000000000005</v>
      </c>
      <c r="G26" s="147">
        <v>0.7</v>
      </c>
      <c r="H26" s="147">
        <v>173.7</v>
      </c>
      <c r="I26" s="147">
        <v>184.1</v>
      </c>
      <c r="J26" s="147">
        <v>6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218">
        <v>0</v>
      </c>
      <c r="F27" s="218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customHeight="1" x14ac:dyDescent="0.2">
      <c r="A28" s="142" t="s">
        <v>95</v>
      </c>
      <c r="B28" s="145">
        <v>43.5</v>
      </c>
      <c r="C28" s="145">
        <v>45.8</v>
      </c>
      <c r="D28" s="143">
        <v>5.3</v>
      </c>
      <c r="E28" s="186">
        <v>3992</v>
      </c>
      <c r="F28" s="186">
        <v>4020.0000000000005</v>
      </c>
      <c r="G28" s="145">
        <v>0.7</v>
      </c>
      <c r="H28" s="145">
        <v>173.7</v>
      </c>
      <c r="I28" s="145">
        <v>184.1</v>
      </c>
      <c r="J28" s="145">
        <v>6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218">
        <v>0</v>
      </c>
      <c r="F29" s="218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218">
        <v>0</v>
      </c>
      <c r="F30" s="218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230</v>
      </c>
      <c r="C31" s="147">
        <v>229.70000000000002</v>
      </c>
      <c r="D31" s="147">
        <v>-0.1</v>
      </c>
      <c r="E31" s="148">
        <v>4227.4399999999996</v>
      </c>
      <c r="F31" s="148">
        <v>4723.8598171528083</v>
      </c>
      <c r="G31" s="147">
        <v>11.7</v>
      </c>
      <c r="H31" s="147">
        <v>972.3</v>
      </c>
      <c r="I31" s="147">
        <v>1085</v>
      </c>
      <c r="J31" s="147">
        <v>11.6</v>
      </c>
    </row>
    <row r="32" spans="1:10" ht="15.75" customHeight="1" x14ac:dyDescent="0.2">
      <c r="A32" s="142" t="s">
        <v>99</v>
      </c>
      <c r="B32" s="145">
        <v>14.5</v>
      </c>
      <c r="C32" s="145">
        <v>16.3</v>
      </c>
      <c r="D32" s="143">
        <v>12.4</v>
      </c>
      <c r="E32" s="186">
        <v>3588</v>
      </c>
      <c r="F32" s="186">
        <v>3572</v>
      </c>
      <c r="G32" s="145">
        <v>-0.4</v>
      </c>
      <c r="H32" s="145">
        <v>52</v>
      </c>
      <c r="I32" s="145">
        <v>58.2</v>
      </c>
      <c r="J32" s="145">
        <v>11.9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218">
        <v>0</v>
      </c>
      <c r="F33" s="218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218">
        <v>0</v>
      </c>
      <c r="F34" s="218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5">
        <v>215.5</v>
      </c>
      <c r="C35" s="145">
        <v>213.4</v>
      </c>
      <c r="D35" s="143">
        <v>-1</v>
      </c>
      <c r="E35" s="186">
        <v>4270.4649651972159</v>
      </c>
      <c r="F35" s="186">
        <v>4811.8416119962512</v>
      </c>
      <c r="G35" s="145">
        <v>12.7</v>
      </c>
      <c r="H35" s="145">
        <v>920.3</v>
      </c>
      <c r="I35" s="145">
        <v>1026.8</v>
      </c>
      <c r="J35" s="145">
        <v>11.6</v>
      </c>
    </row>
    <row r="36" spans="1:10" ht="15.75" customHeight="1" x14ac:dyDescent="0.2">
      <c r="A36" s="146" t="s">
        <v>103</v>
      </c>
      <c r="B36" s="147">
        <v>2.1</v>
      </c>
      <c r="C36" s="147">
        <v>1.5</v>
      </c>
      <c r="D36" s="147">
        <v>-28.6</v>
      </c>
      <c r="E36" s="148">
        <v>2989</v>
      </c>
      <c r="F36" s="148">
        <v>2720</v>
      </c>
      <c r="G36" s="147">
        <v>-9</v>
      </c>
      <c r="H36" s="147">
        <v>6.3</v>
      </c>
      <c r="I36" s="147">
        <v>4.0999999999999996</v>
      </c>
      <c r="J36" s="147">
        <v>-34.9</v>
      </c>
    </row>
    <row r="37" spans="1:10" ht="15.75" customHeight="1" x14ac:dyDescent="0.2">
      <c r="A37" s="142" t="s">
        <v>104</v>
      </c>
      <c r="B37" s="145">
        <v>2.1</v>
      </c>
      <c r="C37" s="145">
        <v>1.5</v>
      </c>
      <c r="D37" s="143">
        <v>-28.6</v>
      </c>
      <c r="E37" s="186">
        <v>2989</v>
      </c>
      <c r="F37" s="186">
        <v>2720</v>
      </c>
      <c r="G37" s="145">
        <v>-9</v>
      </c>
      <c r="H37" s="145">
        <v>6.3</v>
      </c>
      <c r="I37" s="145">
        <v>4.0999999999999996</v>
      </c>
      <c r="J37" s="145">
        <v>-34.9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218">
        <v>0</v>
      </c>
      <c r="F38" s="218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</row>
    <row r="40" spans="1:10" ht="15.75" customHeight="1" x14ac:dyDescent="0.2">
      <c r="A40" s="146" t="s">
        <v>107</v>
      </c>
      <c r="B40" s="147">
        <v>4.8</v>
      </c>
      <c r="C40" s="147">
        <v>4.9000000000000004</v>
      </c>
      <c r="D40" s="147">
        <v>2.1</v>
      </c>
      <c r="E40" s="148">
        <v>1558.2291666666667</v>
      </c>
      <c r="F40" s="148">
        <v>1738.7142857142858</v>
      </c>
      <c r="G40" s="147">
        <v>11.6</v>
      </c>
      <c r="H40" s="147">
        <v>7.4</v>
      </c>
      <c r="I40" s="147">
        <v>8.5</v>
      </c>
      <c r="J40" s="147">
        <v>14.9</v>
      </c>
    </row>
    <row r="41" spans="1:10" ht="15.75" customHeight="1" x14ac:dyDescent="0.2">
      <c r="A41" s="146" t="s">
        <v>108</v>
      </c>
      <c r="B41" s="147">
        <v>275.60000000000002</v>
      </c>
      <c r="C41" s="147">
        <v>277</v>
      </c>
      <c r="D41" s="147">
        <v>0.5</v>
      </c>
      <c r="E41" s="148">
        <v>4180.8421625544261</v>
      </c>
      <c r="F41" s="148">
        <v>4596.6303249097473</v>
      </c>
      <c r="G41" s="147">
        <v>9.9</v>
      </c>
      <c r="H41" s="147">
        <v>1152.3</v>
      </c>
      <c r="I41" s="147">
        <v>1273.1999999999998</v>
      </c>
      <c r="J41" s="147">
        <v>10.5</v>
      </c>
    </row>
    <row r="42" spans="1:10" ht="15.75" customHeight="1" x14ac:dyDescent="0.2">
      <c r="A42" s="220" t="s">
        <v>58</v>
      </c>
      <c r="B42" s="221">
        <v>280.40000000000003</v>
      </c>
      <c r="C42" s="221">
        <v>281.90000000000003</v>
      </c>
      <c r="D42" s="221">
        <v>0.5</v>
      </c>
      <c r="E42" s="222">
        <v>4135.9472182596282</v>
      </c>
      <c r="F42" s="222">
        <v>4546.953884356154</v>
      </c>
      <c r="G42" s="221">
        <v>9.9</v>
      </c>
      <c r="H42" s="221">
        <v>1159.6999999999998</v>
      </c>
      <c r="I42" s="221">
        <v>1281.6999999999998</v>
      </c>
      <c r="J42" s="221">
        <v>10.5</v>
      </c>
    </row>
    <row r="43" spans="1:10" ht="15.75" customHeight="1" x14ac:dyDescent="0.2">
      <c r="A43" s="161" t="s">
        <v>7</v>
      </c>
      <c r="B43" s="157"/>
      <c r="C43" s="157"/>
      <c r="D43" s="157"/>
      <c r="E43" s="157"/>
      <c r="F43" s="157"/>
      <c r="G43" s="157"/>
      <c r="H43" s="157"/>
      <c r="I43" s="157"/>
      <c r="J43" s="157"/>
    </row>
    <row r="44" spans="1:10" ht="15.75" customHeight="1" x14ac:dyDescent="0.2">
      <c r="A44" s="128" t="s">
        <v>212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6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8.42578125" style="126" customWidth="1"/>
    <col min="8" max="9" width="11.42578125" style="126" customWidth="1"/>
    <col min="10" max="10" width="7.85546875" style="126" bestFit="1" customWidth="1"/>
    <col min="11" max="26" width="11.42578125" style="126" customWidth="1"/>
  </cols>
  <sheetData>
    <row r="1" spans="1:26" ht="34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6" ht="15.75" customHeight="1" x14ac:dyDescent="0.2">
      <c r="A2" s="451" t="s">
        <v>123</v>
      </c>
      <c r="B2" s="451"/>
      <c r="C2" s="451"/>
      <c r="D2" s="451"/>
      <c r="E2" s="451"/>
      <c r="F2" s="451"/>
      <c r="G2" s="451"/>
      <c r="H2" s="451"/>
      <c r="I2" s="451"/>
      <c r="J2" s="451"/>
    </row>
    <row r="3" spans="1:26" ht="15.75" customHeight="1" x14ac:dyDescent="0.2">
      <c r="A3" s="451" t="s">
        <v>118</v>
      </c>
      <c r="B3" s="451"/>
      <c r="C3" s="451"/>
      <c r="D3" s="451"/>
      <c r="E3" s="451"/>
      <c r="F3" s="451"/>
      <c r="G3" s="451"/>
      <c r="H3" s="451"/>
      <c r="I3" s="451"/>
      <c r="J3" s="451"/>
    </row>
    <row r="4" spans="1:26" ht="15.75" customHeight="1" x14ac:dyDescent="0.2">
      <c r="A4" s="451" t="s">
        <v>0</v>
      </c>
      <c r="B4" s="451"/>
      <c r="C4" s="451"/>
      <c r="D4" s="451"/>
      <c r="E4" s="451"/>
      <c r="F4" s="451"/>
      <c r="G4" s="451"/>
      <c r="H4" s="451"/>
      <c r="I4" s="451"/>
      <c r="J4" s="451"/>
    </row>
    <row r="5" spans="1:26" ht="25.5" customHeight="1" x14ac:dyDescent="0.2">
      <c r="A5" s="458" t="s">
        <v>61</v>
      </c>
      <c r="B5" s="460" t="s">
        <v>62</v>
      </c>
      <c r="C5" s="460"/>
      <c r="D5" s="460"/>
      <c r="E5" s="461" t="s">
        <v>63</v>
      </c>
      <c r="F5" s="461"/>
      <c r="G5" s="461"/>
      <c r="H5" s="460" t="s">
        <v>64</v>
      </c>
      <c r="I5" s="460"/>
      <c r="J5" s="460"/>
    </row>
    <row r="6" spans="1:26" ht="21" customHeight="1" x14ac:dyDescent="0.2">
      <c r="A6" s="458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26" ht="16.5" customHeight="1" x14ac:dyDescent="0.2">
      <c r="A7" s="459"/>
      <c r="B7" s="224" t="s">
        <v>66</v>
      </c>
      <c r="C7" s="225" t="s">
        <v>67</v>
      </c>
      <c r="D7" s="226" t="s">
        <v>68</v>
      </c>
      <c r="E7" s="227" t="s">
        <v>69</v>
      </c>
      <c r="F7" s="227" t="s">
        <v>70</v>
      </c>
      <c r="G7" s="225" t="s">
        <v>71</v>
      </c>
      <c r="H7" s="225" t="s">
        <v>72</v>
      </c>
      <c r="I7" s="226" t="s">
        <v>73</v>
      </c>
      <c r="J7" s="227" t="s">
        <v>74</v>
      </c>
    </row>
    <row r="8" spans="1:26" ht="15" customHeight="1" x14ac:dyDescent="0.2">
      <c r="A8" s="139" t="s">
        <v>75</v>
      </c>
      <c r="B8" s="140">
        <v>145.70000000000002</v>
      </c>
      <c r="C8" s="140">
        <v>119.89999999999999</v>
      </c>
      <c r="D8" s="140">
        <v>-17.7</v>
      </c>
      <c r="E8" s="141">
        <v>6490.0899107755658</v>
      </c>
      <c r="F8" s="141">
        <v>6333.3719766472068</v>
      </c>
      <c r="G8" s="140">
        <v>-2.4</v>
      </c>
      <c r="H8" s="140">
        <v>945.6</v>
      </c>
      <c r="I8" s="140">
        <v>759.4</v>
      </c>
      <c r="J8" s="140">
        <v>-19.7</v>
      </c>
    </row>
    <row r="9" spans="1:26" ht="15.75" customHeight="1" x14ac:dyDescent="0.2">
      <c r="A9" s="86" t="s">
        <v>76</v>
      </c>
      <c r="B9" s="87">
        <v>13.3</v>
      </c>
      <c r="C9" s="87">
        <v>13.3</v>
      </c>
      <c r="D9" s="87">
        <v>0</v>
      </c>
      <c r="E9" s="88">
        <v>7530</v>
      </c>
      <c r="F9" s="88">
        <v>7444</v>
      </c>
      <c r="G9" s="87">
        <v>-1.1000000000000001</v>
      </c>
      <c r="H9" s="87">
        <v>100.1</v>
      </c>
      <c r="I9" s="87">
        <v>99</v>
      </c>
      <c r="J9" s="87">
        <v>-1.1000000000000001</v>
      </c>
      <c r="U9"/>
      <c r="V9"/>
      <c r="W9"/>
      <c r="X9"/>
      <c r="Y9"/>
      <c r="Z9"/>
    </row>
    <row r="10" spans="1:26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6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6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6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6" ht="15.75" customHeight="1" x14ac:dyDescent="0.2">
      <c r="A14" s="86" t="s">
        <v>81</v>
      </c>
      <c r="B14" s="87">
        <v>5.5</v>
      </c>
      <c r="C14" s="87">
        <v>5.5</v>
      </c>
      <c r="D14" s="87">
        <v>0</v>
      </c>
      <c r="E14" s="88">
        <v>7000</v>
      </c>
      <c r="F14" s="88">
        <v>7000</v>
      </c>
      <c r="G14" s="87">
        <v>0</v>
      </c>
      <c r="H14" s="87">
        <v>38.5</v>
      </c>
      <c r="I14" s="87">
        <v>38.5</v>
      </c>
      <c r="J14" s="87">
        <v>0</v>
      </c>
      <c r="U14"/>
      <c r="V14"/>
      <c r="W14"/>
      <c r="X14"/>
      <c r="Y14"/>
      <c r="Z14"/>
    </row>
    <row r="15" spans="1:26" ht="15.75" customHeight="1" x14ac:dyDescent="0.2">
      <c r="A15" s="86" t="s">
        <v>82</v>
      </c>
      <c r="B15" s="87">
        <v>126.9</v>
      </c>
      <c r="C15" s="87">
        <v>101.1</v>
      </c>
      <c r="D15" s="87">
        <v>-20.3</v>
      </c>
      <c r="E15" s="88">
        <v>6359</v>
      </c>
      <c r="F15" s="88">
        <v>6151</v>
      </c>
      <c r="G15" s="87">
        <v>-3.3</v>
      </c>
      <c r="H15" s="87">
        <v>807</v>
      </c>
      <c r="I15" s="87">
        <v>621.9</v>
      </c>
      <c r="J15" s="87">
        <v>-22.9</v>
      </c>
      <c r="U15"/>
      <c r="V15"/>
      <c r="W15"/>
      <c r="X15"/>
      <c r="Y15"/>
      <c r="Z15"/>
    </row>
    <row r="16" spans="1:26" ht="15.75" customHeight="1" x14ac:dyDescent="0.2">
      <c r="A16" s="146" t="s">
        <v>83</v>
      </c>
      <c r="B16" s="147">
        <v>20</v>
      </c>
      <c r="C16" s="147">
        <v>18.2</v>
      </c>
      <c r="D16" s="147">
        <v>-9</v>
      </c>
      <c r="E16" s="148">
        <v>6479.3649999999998</v>
      </c>
      <c r="F16" s="148">
        <v>6716.2692307692314</v>
      </c>
      <c r="G16" s="147">
        <v>3.7</v>
      </c>
      <c r="H16" s="147">
        <v>129.6</v>
      </c>
      <c r="I16" s="147">
        <v>122.29999999999998</v>
      </c>
      <c r="J16" s="147">
        <v>-5.6</v>
      </c>
    </row>
    <row r="17" spans="1:26" ht="15.75" customHeight="1" x14ac:dyDescent="0.2">
      <c r="A17" s="86" t="s">
        <v>84</v>
      </c>
      <c r="B17" s="87">
        <v>4.5</v>
      </c>
      <c r="C17" s="87">
        <v>4.3</v>
      </c>
      <c r="D17" s="87">
        <v>-4.4000000000000004</v>
      </c>
      <c r="E17" s="88">
        <v>5837</v>
      </c>
      <c r="F17" s="88">
        <v>5949</v>
      </c>
      <c r="G17" s="87">
        <v>1.9</v>
      </c>
      <c r="H17" s="87">
        <v>26.3</v>
      </c>
      <c r="I17" s="87">
        <v>25.6</v>
      </c>
      <c r="J17" s="87">
        <v>-2.7</v>
      </c>
      <c r="U17"/>
      <c r="V17"/>
      <c r="W17"/>
      <c r="X17"/>
      <c r="Y17"/>
      <c r="Z17"/>
    </row>
    <row r="18" spans="1:26" ht="15.75" customHeight="1" x14ac:dyDescent="0.2">
      <c r="A18" s="86" t="s">
        <v>85</v>
      </c>
      <c r="B18" s="87">
        <v>4.8</v>
      </c>
      <c r="C18" s="87">
        <v>4.5999999999999996</v>
      </c>
      <c r="D18" s="87">
        <v>-4.2</v>
      </c>
      <c r="E18" s="88">
        <v>4949</v>
      </c>
      <c r="F18" s="88">
        <v>4820</v>
      </c>
      <c r="G18" s="87">
        <v>-2.6</v>
      </c>
      <c r="H18" s="87">
        <v>23.8</v>
      </c>
      <c r="I18" s="87">
        <v>22.2</v>
      </c>
      <c r="J18" s="87">
        <v>-6.7</v>
      </c>
      <c r="U18"/>
      <c r="V18"/>
      <c r="W18"/>
      <c r="X18"/>
      <c r="Y18"/>
      <c r="Z18"/>
    </row>
    <row r="19" spans="1:26" ht="15.75" customHeight="1" x14ac:dyDescent="0.2">
      <c r="A19" s="86" t="s">
        <v>86</v>
      </c>
      <c r="B19" s="87">
        <v>1.1000000000000001</v>
      </c>
      <c r="C19" s="87">
        <v>0.7</v>
      </c>
      <c r="D19" s="87">
        <v>-36.4</v>
      </c>
      <c r="E19" s="88">
        <v>6714</v>
      </c>
      <c r="F19" s="88">
        <v>7189</v>
      </c>
      <c r="G19" s="87">
        <v>7.1</v>
      </c>
      <c r="H19" s="87">
        <v>7.4</v>
      </c>
      <c r="I19" s="87">
        <v>5</v>
      </c>
      <c r="J19" s="87">
        <v>-32.4</v>
      </c>
      <c r="U19"/>
      <c r="V19"/>
      <c r="W19"/>
      <c r="X19"/>
      <c r="Y19"/>
      <c r="Z19"/>
    </row>
    <row r="20" spans="1:26" ht="15.75" customHeight="1" x14ac:dyDescent="0.2">
      <c r="A20" s="86" t="s">
        <v>87</v>
      </c>
      <c r="B20" s="87">
        <v>0.4</v>
      </c>
      <c r="C20" s="87">
        <v>0.3</v>
      </c>
      <c r="D20" s="87">
        <v>-25</v>
      </c>
      <c r="E20" s="88">
        <v>2811</v>
      </c>
      <c r="F20" s="88">
        <v>2517</v>
      </c>
      <c r="G20" s="87">
        <v>-10.5</v>
      </c>
      <c r="H20" s="87">
        <v>1.1000000000000001</v>
      </c>
      <c r="I20" s="87">
        <v>0.8</v>
      </c>
      <c r="J20" s="87">
        <v>-27.3</v>
      </c>
      <c r="U20"/>
      <c r="V20"/>
      <c r="W20"/>
      <c r="X20"/>
      <c r="Y20"/>
      <c r="Z20"/>
    </row>
    <row r="21" spans="1:26" ht="15.75" customHeight="1" x14ac:dyDescent="0.2">
      <c r="A21" s="86" t="s">
        <v>88</v>
      </c>
      <c r="B21" s="87">
        <v>0.4</v>
      </c>
      <c r="C21" s="87">
        <v>0.4</v>
      </c>
      <c r="D21" s="87">
        <v>0</v>
      </c>
      <c r="E21" s="88">
        <v>3321</v>
      </c>
      <c r="F21" s="88">
        <v>4420</v>
      </c>
      <c r="G21" s="87">
        <v>33.1</v>
      </c>
      <c r="H21" s="87">
        <v>1.3</v>
      </c>
      <c r="I21" s="87">
        <v>1.8</v>
      </c>
      <c r="J21" s="87">
        <v>38.5</v>
      </c>
      <c r="U21"/>
      <c r="V21"/>
      <c r="W21"/>
      <c r="X21"/>
      <c r="Y21"/>
      <c r="Z21"/>
    </row>
    <row r="22" spans="1:26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6" ht="15.75" customHeight="1" x14ac:dyDescent="0.2">
      <c r="A23" s="86" t="s">
        <v>90</v>
      </c>
      <c r="B23" s="87">
        <v>2.6</v>
      </c>
      <c r="C23" s="87">
        <v>2.5</v>
      </c>
      <c r="D23" s="87">
        <v>-3.8</v>
      </c>
      <c r="E23" s="88">
        <v>7200</v>
      </c>
      <c r="F23" s="88">
        <v>8800</v>
      </c>
      <c r="G23" s="87">
        <v>22.2</v>
      </c>
      <c r="H23" s="87">
        <v>18.7</v>
      </c>
      <c r="I23" s="87">
        <v>22</v>
      </c>
      <c r="J23" s="87">
        <v>17.600000000000001</v>
      </c>
      <c r="U23"/>
      <c r="V23"/>
      <c r="W23"/>
      <c r="X23"/>
      <c r="Y23"/>
      <c r="Z23"/>
    </row>
    <row r="24" spans="1:26" ht="15.75" customHeight="1" x14ac:dyDescent="0.2">
      <c r="A24" s="86" t="s">
        <v>91</v>
      </c>
      <c r="B24" s="87">
        <v>6.2</v>
      </c>
      <c r="C24" s="87">
        <v>5.4</v>
      </c>
      <c r="D24" s="87">
        <v>-12.9</v>
      </c>
      <c r="E24" s="88">
        <v>8227</v>
      </c>
      <c r="F24" s="88">
        <v>8320</v>
      </c>
      <c r="G24" s="87">
        <v>1.1000000000000001</v>
      </c>
      <c r="H24" s="87">
        <v>51</v>
      </c>
      <c r="I24" s="87">
        <v>44.9</v>
      </c>
      <c r="J24" s="87">
        <v>-12</v>
      </c>
      <c r="U24"/>
      <c r="V24"/>
      <c r="W24"/>
      <c r="X24"/>
      <c r="Y24"/>
      <c r="Z24"/>
    </row>
    <row r="25" spans="1:26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26" ht="15.75" customHeight="1" x14ac:dyDescent="0.2">
      <c r="A26" s="146" t="s">
        <v>93</v>
      </c>
      <c r="B26" s="147">
        <v>40</v>
      </c>
      <c r="C26" s="147">
        <v>31.8</v>
      </c>
      <c r="D26" s="147">
        <v>-20.5</v>
      </c>
      <c r="E26" s="148">
        <v>6111.1324999999997</v>
      </c>
      <c r="F26" s="148">
        <v>6831.5408805031448</v>
      </c>
      <c r="G26" s="147">
        <v>11.8</v>
      </c>
      <c r="H26" s="147">
        <v>244.5</v>
      </c>
      <c r="I26" s="147">
        <v>217.2</v>
      </c>
      <c r="J26" s="147">
        <v>-11.2</v>
      </c>
    </row>
    <row r="27" spans="1:26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6" ht="15.75" customHeight="1" x14ac:dyDescent="0.2">
      <c r="A28" s="86" t="s">
        <v>95</v>
      </c>
      <c r="B28" s="87">
        <v>13.7</v>
      </c>
      <c r="C28" s="87">
        <v>9.1999999999999993</v>
      </c>
      <c r="D28" s="87">
        <v>-32.799999999999997</v>
      </c>
      <c r="E28" s="88">
        <v>6889</v>
      </c>
      <c r="F28" s="88">
        <v>6418</v>
      </c>
      <c r="G28" s="87">
        <v>-6.8</v>
      </c>
      <c r="H28" s="87">
        <v>94.4</v>
      </c>
      <c r="I28" s="87">
        <v>59</v>
      </c>
      <c r="J28" s="87">
        <v>-37.5</v>
      </c>
      <c r="U28"/>
      <c r="V28"/>
      <c r="W28"/>
      <c r="X28"/>
      <c r="Y28"/>
      <c r="Z28"/>
    </row>
    <row r="29" spans="1:26" ht="15.75" customHeight="1" x14ac:dyDescent="0.2">
      <c r="A29" s="86" t="s">
        <v>96</v>
      </c>
      <c r="B29" s="87">
        <v>26</v>
      </c>
      <c r="C29" s="87">
        <v>22.3</v>
      </c>
      <c r="D29" s="87">
        <v>-14.2</v>
      </c>
      <c r="E29" s="88">
        <v>5691</v>
      </c>
      <c r="F29" s="88">
        <v>6998</v>
      </c>
      <c r="G29" s="87">
        <v>23</v>
      </c>
      <c r="H29" s="87">
        <v>148</v>
      </c>
      <c r="I29" s="87">
        <v>156.1</v>
      </c>
      <c r="J29" s="87">
        <v>5.5</v>
      </c>
      <c r="U29"/>
      <c r="V29"/>
      <c r="W29"/>
      <c r="X29"/>
      <c r="Y29"/>
      <c r="Z29"/>
    </row>
    <row r="30" spans="1:26" ht="15.75" customHeight="1" x14ac:dyDescent="0.2">
      <c r="A30" s="86" t="s">
        <v>97</v>
      </c>
      <c r="B30" s="87">
        <v>0.3</v>
      </c>
      <c r="C30" s="87">
        <v>0.3</v>
      </c>
      <c r="D30" s="87"/>
      <c r="E30" s="88">
        <v>7000</v>
      </c>
      <c r="F30" s="88">
        <v>7140</v>
      </c>
      <c r="G30" s="87">
        <v>2</v>
      </c>
      <c r="H30" s="87">
        <v>2.1</v>
      </c>
      <c r="I30" s="87">
        <v>2.1</v>
      </c>
      <c r="J30" s="87">
        <v>0</v>
      </c>
      <c r="U30"/>
      <c r="V30"/>
      <c r="W30"/>
      <c r="X30"/>
      <c r="Y30"/>
      <c r="Z30"/>
    </row>
    <row r="31" spans="1:26" ht="15.75" customHeight="1" x14ac:dyDescent="0.2">
      <c r="A31" s="146" t="s">
        <v>98</v>
      </c>
      <c r="B31" s="147">
        <v>26.9</v>
      </c>
      <c r="C31" s="147">
        <v>21.8</v>
      </c>
      <c r="D31" s="147">
        <v>-19</v>
      </c>
      <c r="E31" s="148">
        <v>5108.5501858736061</v>
      </c>
      <c r="F31" s="148">
        <v>5808.4082568807335</v>
      </c>
      <c r="G31" s="147">
        <v>13.7</v>
      </c>
      <c r="H31" s="147">
        <v>137.4</v>
      </c>
      <c r="I31" s="147">
        <v>126.7</v>
      </c>
      <c r="J31" s="147">
        <v>-7.8</v>
      </c>
    </row>
    <row r="32" spans="1:26" ht="15.75" customHeight="1" x14ac:dyDescent="0.2">
      <c r="A32" s="86" t="s">
        <v>99</v>
      </c>
      <c r="B32" s="87">
        <v>19.399999999999999</v>
      </c>
      <c r="C32" s="87">
        <v>14.3</v>
      </c>
      <c r="D32" s="87">
        <v>-26.3</v>
      </c>
      <c r="E32" s="88">
        <v>4300</v>
      </c>
      <c r="F32" s="88">
        <v>5131</v>
      </c>
      <c r="G32" s="87">
        <v>19.3</v>
      </c>
      <c r="H32" s="87">
        <v>83.4</v>
      </c>
      <c r="I32" s="87">
        <v>73.400000000000006</v>
      </c>
      <c r="J32" s="87">
        <v>-12</v>
      </c>
      <c r="U32"/>
      <c r="V32"/>
      <c r="W32"/>
      <c r="X32"/>
      <c r="Y32"/>
      <c r="Z32"/>
    </row>
    <row r="33" spans="1:26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6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6" ht="15.75" customHeight="1" x14ac:dyDescent="0.2">
      <c r="A35" s="86" t="s">
        <v>102</v>
      </c>
      <c r="B35" s="87">
        <v>7.5</v>
      </c>
      <c r="C35" s="87">
        <v>7.5</v>
      </c>
      <c r="D35" s="87">
        <v>0</v>
      </c>
      <c r="E35" s="88">
        <v>7200</v>
      </c>
      <c r="F35" s="88">
        <v>7100</v>
      </c>
      <c r="G35" s="87">
        <v>-1.4</v>
      </c>
      <c r="H35" s="87">
        <v>54</v>
      </c>
      <c r="I35" s="87">
        <v>53.3</v>
      </c>
      <c r="J35" s="87">
        <v>-1.3</v>
      </c>
      <c r="U35"/>
      <c r="V35"/>
      <c r="W35"/>
      <c r="X35"/>
      <c r="Y35"/>
      <c r="Z35"/>
    </row>
    <row r="36" spans="1:26" ht="15.75" customHeight="1" x14ac:dyDescent="0.2">
      <c r="A36" s="146" t="s">
        <v>103</v>
      </c>
      <c r="B36" s="147">
        <v>1136.7</v>
      </c>
      <c r="C36" s="147">
        <v>1072.1000000000001</v>
      </c>
      <c r="D36" s="147">
        <v>-5.7</v>
      </c>
      <c r="E36" s="148">
        <v>8922.696489839007</v>
      </c>
      <c r="F36" s="148">
        <v>8586.9191306781067</v>
      </c>
      <c r="G36" s="147">
        <v>-3.8</v>
      </c>
      <c r="H36" s="147">
        <v>10142.400000000001</v>
      </c>
      <c r="I36" s="147">
        <v>9206.1</v>
      </c>
      <c r="J36" s="147">
        <v>-9.1999999999999993</v>
      </c>
    </row>
    <row r="37" spans="1:26" ht="15.75" customHeight="1" x14ac:dyDescent="0.2">
      <c r="A37" s="86" t="s">
        <v>104</v>
      </c>
      <c r="B37" s="87">
        <v>18.600000000000001</v>
      </c>
      <c r="C37" s="87">
        <v>18.399999999999999</v>
      </c>
      <c r="D37" s="87">
        <v>-1.1000000000000001</v>
      </c>
      <c r="E37" s="88">
        <v>7215</v>
      </c>
      <c r="F37" s="88">
        <v>8242</v>
      </c>
      <c r="G37" s="87">
        <v>14.2</v>
      </c>
      <c r="H37" s="87">
        <v>134.19999999999999</v>
      </c>
      <c r="I37" s="87">
        <v>151.69999999999999</v>
      </c>
      <c r="J37" s="87">
        <v>13</v>
      </c>
      <c r="U37"/>
      <c r="V37"/>
      <c r="W37"/>
      <c r="X37"/>
      <c r="Y37"/>
      <c r="Z37"/>
    </row>
    <row r="38" spans="1:26" ht="15.75" customHeight="1" x14ac:dyDescent="0.2">
      <c r="A38" s="86" t="s">
        <v>105</v>
      </c>
      <c r="B38" s="87">
        <v>150</v>
      </c>
      <c r="C38" s="87">
        <v>148.5</v>
      </c>
      <c r="D38" s="87">
        <v>-1</v>
      </c>
      <c r="E38" s="88">
        <v>8500</v>
      </c>
      <c r="F38" s="88">
        <v>8300</v>
      </c>
      <c r="G38" s="87">
        <v>-2.4</v>
      </c>
      <c r="H38" s="87">
        <v>1275</v>
      </c>
      <c r="I38" s="87">
        <v>1232.5999999999999</v>
      </c>
      <c r="J38" s="87">
        <v>-3.3</v>
      </c>
      <c r="U38"/>
      <c r="V38"/>
      <c r="W38"/>
      <c r="X38"/>
      <c r="Y38"/>
      <c r="Z38"/>
    </row>
    <row r="39" spans="1:26" ht="15.75" customHeight="1" x14ac:dyDescent="0.2">
      <c r="A39" s="86" t="s">
        <v>106</v>
      </c>
      <c r="B39" s="87">
        <v>968.1</v>
      </c>
      <c r="C39" s="87">
        <v>905.2</v>
      </c>
      <c r="D39" s="87">
        <v>-6.5</v>
      </c>
      <c r="E39" s="88">
        <v>9021</v>
      </c>
      <c r="F39" s="88">
        <v>8641</v>
      </c>
      <c r="G39" s="87">
        <v>-4.2</v>
      </c>
      <c r="H39" s="87">
        <v>8733.2000000000007</v>
      </c>
      <c r="I39" s="87">
        <v>7821.8</v>
      </c>
      <c r="J39" s="87">
        <v>-10.4</v>
      </c>
      <c r="U39"/>
      <c r="V39"/>
      <c r="W39"/>
      <c r="X39"/>
      <c r="Y39"/>
      <c r="Z39"/>
    </row>
    <row r="40" spans="1:26" ht="15.75" customHeight="1" x14ac:dyDescent="0.2">
      <c r="A40" s="146" t="s">
        <v>107</v>
      </c>
      <c r="B40" s="147">
        <v>165.70000000000002</v>
      </c>
      <c r="C40" s="147">
        <v>138.1</v>
      </c>
      <c r="D40" s="147">
        <v>-16.7</v>
      </c>
      <c r="E40" s="148">
        <v>6488.7954133977073</v>
      </c>
      <c r="F40" s="148">
        <v>6383.8334540188271</v>
      </c>
      <c r="G40" s="147">
        <v>-1.6</v>
      </c>
      <c r="H40" s="147">
        <v>1075.2</v>
      </c>
      <c r="I40" s="147">
        <v>881.69999999999993</v>
      </c>
      <c r="J40" s="147">
        <v>-18</v>
      </c>
    </row>
    <row r="41" spans="1:26" ht="15.75" customHeight="1" x14ac:dyDescent="0.2">
      <c r="A41" s="146" t="s">
        <v>108</v>
      </c>
      <c r="B41" s="147">
        <v>1203.6000000000001</v>
      </c>
      <c r="C41" s="147">
        <v>1125.7</v>
      </c>
      <c r="D41" s="147">
        <v>-6.5</v>
      </c>
      <c r="E41" s="148">
        <v>8744.0132934529738</v>
      </c>
      <c r="F41" s="148">
        <v>8483.5234076574579</v>
      </c>
      <c r="G41" s="147">
        <v>-3</v>
      </c>
      <c r="H41" s="147">
        <v>10524.300000000001</v>
      </c>
      <c r="I41" s="147">
        <v>9550</v>
      </c>
      <c r="J41" s="147">
        <v>-9.3000000000000007</v>
      </c>
    </row>
    <row r="42" spans="1:26" ht="15.75" customHeight="1" x14ac:dyDescent="0.2">
      <c r="A42" s="149" t="s">
        <v>58</v>
      </c>
      <c r="B42" s="150">
        <v>1369.3000000000002</v>
      </c>
      <c r="C42" s="150">
        <v>1263.8</v>
      </c>
      <c r="D42" s="150">
        <v>-7.7</v>
      </c>
      <c r="E42" s="151">
        <v>8471.1077192726207</v>
      </c>
      <c r="F42" s="151">
        <v>8254.0826871340396</v>
      </c>
      <c r="G42" s="150">
        <v>-2.6</v>
      </c>
      <c r="H42" s="150">
        <v>11599.500000000002</v>
      </c>
      <c r="I42" s="150">
        <v>10431.700000000001</v>
      </c>
      <c r="J42" s="150">
        <v>-10.1</v>
      </c>
    </row>
    <row r="43" spans="1:26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6" ht="15.75" customHeight="1" x14ac:dyDescent="0.2">
      <c r="A44" s="192" t="s">
        <v>212</v>
      </c>
    </row>
    <row r="46" spans="1:26" ht="20.25" customHeight="1" x14ac:dyDescent="0.2">
      <c r="H46" s="1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showGridLines="0" zoomScale="85" zoomScaleNormal="85" workbookViewId="0">
      <selection activeCell="V53" sqref="V53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8" width="11.42578125" style="126" customWidth="1"/>
    <col min="9" max="9" width="12.42578125" style="126" customWidth="1"/>
    <col min="10" max="10" width="8.42578125" style="126" customWidth="1"/>
    <col min="11" max="18" width="11.42578125" style="126" customWidth="1"/>
  </cols>
  <sheetData>
    <row r="1" spans="1:20" ht="24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9.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0.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1.75" customHeight="1" x14ac:dyDescent="0.2">
      <c r="A5" s="458" t="s">
        <v>61</v>
      </c>
      <c r="B5" s="460" t="s">
        <v>62</v>
      </c>
      <c r="C5" s="460"/>
      <c r="D5" s="460"/>
      <c r="E5" s="461" t="s">
        <v>63</v>
      </c>
      <c r="F5" s="461"/>
      <c r="G5" s="461"/>
      <c r="H5" s="460" t="s">
        <v>64</v>
      </c>
      <c r="I5" s="460"/>
      <c r="J5" s="460"/>
    </row>
    <row r="6" spans="1:20" ht="21.75" customHeight="1" x14ac:dyDescent="0.2">
      <c r="A6" s="458"/>
      <c r="B6" s="223" t="s">
        <v>2</v>
      </c>
      <c r="C6" s="223" t="s">
        <v>5</v>
      </c>
      <c r="D6" s="223" t="s">
        <v>65</v>
      </c>
      <c r="E6" s="223" t="s">
        <v>2</v>
      </c>
      <c r="F6" s="223" t="s">
        <v>5</v>
      </c>
      <c r="G6" s="223" t="s">
        <v>65</v>
      </c>
      <c r="H6" s="223" t="s">
        <v>2</v>
      </c>
      <c r="I6" s="223" t="s">
        <v>5</v>
      </c>
      <c r="J6" s="223" t="s">
        <v>65</v>
      </c>
    </row>
    <row r="7" spans="1:20" ht="15" customHeight="1" x14ac:dyDescent="0.2">
      <c r="A7" s="459"/>
      <c r="B7" s="229" t="s">
        <v>66</v>
      </c>
      <c r="C7" s="226" t="s">
        <v>67</v>
      </c>
      <c r="D7" s="227" t="s">
        <v>68</v>
      </c>
      <c r="E7" s="227" t="s">
        <v>69</v>
      </c>
      <c r="F7" s="225" t="s">
        <v>70</v>
      </c>
      <c r="G7" s="225" t="s">
        <v>71</v>
      </c>
      <c r="H7" s="226" t="s">
        <v>72</v>
      </c>
      <c r="I7" s="225" t="s">
        <v>73</v>
      </c>
      <c r="J7" s="227" t="s">
        <v>74</v>
      </c>
    </row>
    <row r="8" spans="1:20" ht="15.75" customHeight="1" x14ac:dyDescent="0.2">
      <c r="A8" s="139" t="s">
        <v>75</v>
      </c>
      <c r="B8" s="140">
        <v>93.899999999999991</v>
      </c>
      <c r="C8" s="140">
        <v>61.100000000000009</v>
      </c>
      <c r="D8" s="140">
        <v>-34.9</v>
      </c>
      <c r="E8" s="141">
        <v>2886.7263045793402</v>
      </c>
      <c r="F8" s="141">
        <v>2549.5924713584282</v>
      </c>
      <c r="G8" s="140">
        <v>-11.7</v>
      </c>
      <c r="H8" s="140">
        <v>271.2</v>
      </c>
      <c r="I8" s="140">
        <v>155.69999999999999</v>
      </c>
      <c r="J8" s="140">
        <v>-42.6</v>
      </c>
    </row>
    <row r="9" spans="1:2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.75" customHeight="1" x14ac:dyDescent="0.2">
      <c r="A10" s="86" t="s">
        <v>77</v>
      </c>
      <c r="B10" s="87">
        <v>44</v>
      </c>
      <c r="C10" s="87">
        <v>13.6</v>
      </c>
      <c r="D10" s="87">
        <v>-69</v>
      </c>
      <c r="E10" s="88">
        <v>3690</v>
      </c>
      <c r="F10" s="88">
        <v>3700</v>
      </c>
      <c r="G10" s="87">
        <v>0.3</v>
      </c>
      <c r="H10" s="87">
        <v>162.4</v>
      </c>
      <c r="I10" s="87">
        <v>50.3</v>
      </c>
      <c r="J10" s="87">
        <v>-69</v>
      </c>
      <c r="S10" s="126"/>
      <c r="T10" s="126"/>
    </row>
    <row r="11" spans="1:20" ht="15.75" customHeight="1" x14ac:dyDescent="0.2">
      <c r="A11" s="86" t="s">
        <v>78</v>
      </c>
      <c r="B11" s="87">
        <v>3.8</v>
      </c>
      <c r="C11" s="87">
        <v>3.5</v>
      </c>
      <c r="D11" s="87">
        <v>-7.9</v>
      </c>
      <c r="E11" s="88">
        <v>1227</v>
      </c>
      <c r="F11" s="88">
        <v>1259</v>
      </c>
      <c r="G11" s="87">
        <v>2.6</v>
      </c>
      <c r="H11" s="87">
        <v>4.7</v>
      </c>
      <c r="I11" s="87">
        <v>4.4000000000000004</v>
      </c>
      <c r="J11" s="87">
        <v>-6.4</v>
      </c>
      <c r="S11" s="126"/>
      <c r="T11" s="126"/>
    </row>
    <row r="12" spans="1:20" ht="15.75" customHeight="1" x14ac:dyDescent="0.2">
      <c r="A12" s="86" t="s">
        <v>79</v>
      </c>
      <c r="B12" s="87">
        <v>4.5999999999999996</v>
      </c>
      <c r="C12" s="87">
        <v>6.4</v>
      </c>
      <c r="D12" s="87">
        <v>39.1</v>
      </c>
      <c r="E12" s="88">
        <v>3252</v>
      </c>
      <c r="F12" s="88">
        <v>2870</v>
      </c>
      <c r="G12" s="87">
        <v>-11.7</v>
      </c>
      <c r="H12" s="87">
        <v>15</v>
      </c>
      <c r="I12" s="87">
        <v>18.399999999999999</v>
      </c>
      <c r="J12" s="87">
        <v>22.7</v>
      </c>
      <c r="S12" s="126"/>
      <c r="T12" s="126"/>
    </row>
    <row r="13" spans="1:20" ht="15.75" customHeight="1" x14ac:dyDescent="0.2">
      <c r="A13" s="86" t="s">
        <v>80</v>
      </c>
      <c r="B13" s="87">
        <v>0.9</v>
      </c>
      <c r="C13" s="87">
        <v>0.6</v>
      </c>
      <c r="D13" s="87">
        <v>-33.299999999999997</v>
      </c>
      <c r="E13" s="88">
        <v>1030</v>
      </c>
      <c r="F13" s="88">
        <v>1016</v>
      </c>
      <c r="G13" s="87">
        <v>-1.4</v>
      </c>
      <c r="H13" s="87">
        <v>0.9</v>
      </c>
      <c r="I13" s="87">
        <v>0.6</v>
      </c>
      <c r="J13" s="87">
        <v>-33.299999999999997</v>
      </c>
      <c r="S13" s="126"/>
      <c r="T13" s="126"/>
    </row>
    <row r="14" spans="1:20" ht="15.75" customHeight="1" x14ac:dyDescent="0.2">
      <c r="A14" s="86" t="s">
        <v>81</v>
      </c>
      <c r="B14" s="87">
        <v>34</v>
      </c>
      <c r="C14" s="87">
        <v>30.8</v>
      </c>
      <c r="D14" s="87">
        <v>-9.4</v>
      </c>
      <c r="E14" s="88">
        <v>2137</v>
      </c>
      <c r="F14" s="88">
        <v>2199</v>
      </c>
      <c r="G14" s="87">
        <v>2.9</v>
      </c>
      <c r="H14" s="87">
        <v>72.7</v>
      </c>
      <c r="I14" s="87">
        <v>67.7</v>
      </c>
      <c r="J14" s="87">
        <v>-6.9</v>
      </c>
      <c r="S14" s="126"/>
      <c r="T14" s="126"/>
    </row>
    <row r="15" spans="1:20" ht="15.75" customHeight="1" x14ac:dyDescent="0.2">
      <c r="A15" s="86" t="s">
        <v>82</v>
      </c>
      <c r="B15" s="87">
        <v>6.6</v>
      </c>
      <c r="C15" s="87">
        <v>6.2</v>
      </c>
      <c r="D15" s="87">
        <v>-6.1</v>
      </c>
      <c r="E15" s="88">
        <v>2348</v>
      </c>
      <c r="F15" s="88">
        <v>2314</v>
      </c>
      <c r="G15" s="87">
        <v>-1.4</v>
      </c>
      <c r="H15" s="87">
        <v>15.5</v>
      </c>
      <c r="I15" s="87">
        <v>14.3</v>
      </c>
      <c r="J15" s="87">
        <v>-7.7</v>
      </c>
      <c r="S15" s="126"/>
      <c r="T15" s="126"/>
    </row>
    <row r="16" spans="1:20" ht="15.75" customHeight="1" x14ac:dyDescent="0.2">
      <c r="A16" s="146" t="s">
        <v>83</v>
      </c>
      <c r="B16" s="147">
        <v>146.20000000000005</v>
      </c>
      <c r="C16" s="147">
        <v>111.9</v>
      </c>
      <c r="D16" s="147">
        <v>-23.5</v>
      </c>
      <c r="E16" s="148">
        <v>2283.1443228454168</v>
      </c>
      <c r="F16" s="148">
        <v>1801.6684539767648</v>
      </c>
      <c r="G16" s="147">
        <v>-21.1</v>
      </c>
      <c r="H16" s="147">
        <v>333.79999999999995</v>
      </c>
      <c r="I16" s="147">
        <v>201.6</v>
      </c>
      <c r="J16" s="147">
        <v>-39.6</v>
      </c>
    </row>
    <row r="17" spans="1:20" ht="15.75" customHeight="1" x14ac:dyDescent="0.2">
      <c r="A17" s="86" t="s">
        <v>84</v>
      </c>
      <c r="B17" s="87">
        <v>88.9</v>
      </c>
      <c r="C17" s="87">
        <v>61</v>
      </c>
      <c r="D17" s="87">
        <v>-31.4</v>
      </c>
      <c r="E17" s="88">
        <v>2848</v>
      </c>
      <c r="F17" s="88">
        <v>2034</v>
      </c>
      <c r="G17" s="87">
        <v>-28.6</v>
      </c>
      <c r="H17" s="87">
        <v>253.2</v>
      </c>
      <c r="I17" s="87">
        <v>124.1</v>
      </c>
      <c r="J17" s="87">
        <v>-51</v>
      </c>
      <c r="S17" s="126"/>
      <c r="T17" s="126"/>
    </row>
    <row r="18" spans="1:20" ht="15.75" customHeight="1" x14ac:dyDescent="0.2">
      <c r="A18" s="86" t="s">
        <v>85</v>
      </c>
      <c r="B18" s="87">
        <v>51.7</v>
      </c>
      <c r="C18" s="87">
        <v>46.9</v>
      </c>
      <c r="D18" s="87">
        <v>-9.3000000000000007</v>
      </c>
      <c r="E18" s="88">
        <v>1460</v>
      </c>
      <c r="F18" s="88">
        <v>1559</v>
      </c>
      <c r="G18" s="87">
        <v>6.8</v>
      </c>
      <c r="H18" s="87">
        <v>75.5</v>
      </c>
      <c r="I18" s="87">
        <v>73.099999999999994</v>
      </c>
      <c r="J18" s="87">
        <v>-3.2</v>
      </c>
      <c r="S18" s="126"/>
      <c r="T18" s="126"/>
    </row>
    <row r="19" spans="1:20" ht="15.75" customHeight="1" x14ac:dyDescent="0.2">
      <c r="A19" s="86" t="s">
        <v>86</v>
      </c>
      <c r="B19" s="87">
        <v>3.3</v>
      </c>
      <c r="C19" s="87">
        <v>2.8</v>
      </c>
      <c r="D19" s="87">
        <v>-15.2</v>
      </c>
      <c r="E19" s="88">
        <v>883</v>
      </c>
      <c r="F19" s="88">
        <v>1292</v>
      </c>
      <c r="G19" s="87">
        <v>46.3</v>
      </c>
      <c r="H19" s="87">
        <v>2.9</v>
      </c>
      <c r="I19" s="87">
        <v>3.6</v>
      </c>
      <c r="J19" s="87">
        <v>24.1</v>
      </c>
      <c r="S19" s="126"/>
      <c r="T19" s="126"/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customHeight="1" x14ac:dyDescent="0.2">
      <c r="A21" s="86" t="s">
        <v>88</v>
      </c>
      <c r="B21" s="87">
        <v>2.2999999999999998</v>
      </c>
      <c r="C21" s="87">
        <v>1.2</v>
      </c>
      <c r="D21" s="87">
        <v>-47.8</v>
      </c>
      <c r="E21" s="88">
        <v>962</v>
      </c>
      <c r="F21" s="88">
        <v>665</v>
      </c>
      <c r="G21" s="87">
        <v>-30.9</v>
      </c>
      <c r="H21" s="87">
        <v>2.2000000000000002</v>
      </c>
      <c r="I21" s="87">
        <v>0.8</v>
      </c>
      <c r="J21" s="87">
        <v>-63.6</v>
      </c>
      <c r="S21" s="126"/>
      <c r="T21" s="126"/>
    </row>
    <row r="22" spans="1:2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20" ht="15" customHeight="1" x14ac:dyDescent="0.2">
      <c r="A26" s="146" t="s">
        <v>93</v>
      </c>
      <c r="B26" s="147">
        <v>149.79999999999998</v>
      </c>
      <c r="C26" s="147">
        <v>75.699999999999989</v>
      </c>
      <c r="D26" s="147">
        <v>-49.5</v>
      </c>
      <c r="E26" s="148">
        <v>3636.0393858477973</v>
      </c>
      <c r="F26" s="148">
        <v>3648.4346103038315</v>
      </c>
      <c r="G26" s="147">
        <v>0.3</v>
      </c>
      <c r="H26" s="147">
        <v>544.70000000000005</v>
      </c>
      <c r="I26" s="147">
        <v>276.2</v>
      </c>
      <c r="J26" s="147">
        <v>-49.3</v>
      </c>
    </row>
    <row r="27" spans="1:20" ht="15.75" customHeight="1" x14ac:dyDescent="0.2">
      <c r="A27" s="86" t="s">
        <v>94</v>
      </c>
      <c r="B27" s="87">
        <v>146.69999999999999</v>
      </c>
      <c r="C27" s="87">
        <v>74.099999999999994</v>
      </c>
      <c r="D27" s="87">
        <v>-49.5</v>
      </c>
      <c r="E27" s="88">
        <v>3661</v>
      </c>
      <c r="F27" s="88">
        <v>3673</v>
      </c>
      <c r="G27" s="87">
        <v>0.3</v>
      </c>
      <c r="H27" s="87">
        <v>537.1</v>
      </c>
      <c r="I27" s="87">
        <v>272.2</v>
      </c>
      <c r="J27" s="87">
        <v>-49.3</v>
      </c>
      <c r="S27" s="126"/>
      <c r="T27" s="126"/>
    </row>
    <row r="28" spans="1:20" ht="15" hidden="1" customHeight="1" x14ac:dyDescent="0.2">
      <c r="A28" s="142" t="s">
        <v>95</v>
      </c>
      <c r="B28" s="143">
        <v>0</v>
      </c>
      <c r="C28" s="143">
        <v>0</v>
      </c>
      <c r="D28" s="143">
        <v>-21.9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customHeight="1" x14ac:dyDescent="0.2">
      <c r="A29" s="86" t="s">
        <v>96</v>
      </c>
      <c r="B29" s="87">
        <v>3</v>
      </c>
      <c r="C29" s="87">
        <v>1.5</v>
      </c>
      <c r="D29" s="87">
        <v>-50</v>
      </c>
      <c r="E29" s="88">
        <v>2400</v>
      </c>
      <c r="F29" s="88">
        <v>2400</v>
      </c>
      <c r="G29" s="87">
        <v>0</v>
      </c>
      <c r="H29" s="87">
        <v>7.2</v>
      </c>
      <c r="I29" s="87">
        <v>3.6</v>
      </c>
      <c r="J29" s="87">
        <v>-50</v>
      </c>
      <c r="S29" s="126"/>
      <c r="T29" s="126"/>
    </row>
    <row r="30" spans="1:20" ht="15.75" customHeight="1" x14ac:dyDescent="0.2">
      <c r="A30" s="86" t="s">
        <v>97</v>
      </c>
      <c r="B30" s="87">
        <v>0.1</v>
      </c>
      <c r="C30" s="87">
        <v>0.1</v>
      </c>
      <c r="D30" s="87">
        <v>0</v>
      </c>
      <c r="E30" s="88">
        <v>4100</v>
      </c>
      <c r="F30" s="88">
        <v>4172</v>
      </c>
      <c r="G30" s="87">
        <v>1.8</v>
      </c>
      <c r="H30" s="87">
        <v>0.4</v>
      </c>
      <c r="I30" s="87">
        <v>0.4</v>
      </c>
      <c r="J30" s="87">
        <v>0</v>
      </c>
      <c r="S30" s="126"/>
      <c r="T30" s="126"/>
    </row>
    <row r="31" spans="1:20" ht="15.75" customHeight="1" x14ac:dyDescent="0.2">
      <c r="A31" s="146" t="s">
        <v>98</v>
      </c>
      <c r="B31" s="147">
        <v>3.5999999999999996</v>
      </c>
      <c r="C31" s="147">
        <v>3.1999999999999997</v>
      </c>
      <c r="D31" s="147">
        <v>-11.1</v>
      </c>
      <c r="E31" s="148">
        <v>1728.5277777777778</v>
      </c>
      <c r="F31" s="148">
        <v>2787.6562500000005</v>
      </c>
      <c r="G31" s="147">
        <v>61.3</v>
      </c>
      <c r="H31" s="147">
        <v>6.1999999999999993</v>
      </c>
      <c r="I31" s="147">
        <v>9</v>
      </c>
      <c r="J31" s="147">
        <v>45.2</v>
      </c>
    </row>
    <row r="32" spans="1:20" ht="15.75" customHeight="1" x14ac:dyDescent="0.2">
      <c r="A32" s="86" t="s">
        <v>99</v>
      </c>
      <c r="B32" s="87">
        <v>2.8</v>
      </c>
      <c r="C32" s="87">
        <v>2.4</v>
      </c>
      <c r="D32" s="87">
        <v>-14.3</v>
      </c>
      <c r="E32" s="88">
        <v>1398</v>
      </c>
      <c r="F32" s="88">
        <v>2768</v>
      </c>
      <c r="G32" s="87">
        <v>98</v>
      </c>
      <c r="H32" s="87">
        <v>3.9</v>
      </c>
      <c r="I32" s="87">
        <v>6.6</v>
      </c>
      <c r="J32" s="87">
        <v>69.2</v>
      </c>
      <c r="S32" s="126"/>
      <c r="T32" s="126"/>
    </row>
    <row r="33" spans="1:20" ht="15.75" customHeight="1" x14ac:dyDescent="0.2">
      <c r="A33" s="86" t="s">
        <v>100</v>
      </c>
      <c r="B33" s="87">
        <v>0.1</v>
      </c>
      <c r="C33" s="87">
        <v>0.1</v>
      </c>
      <c r="D33" s="87">
        <v>0</v>
      </c>
      <c r="E33" s="88">
        <v>3656</v>
      </c>
      <c r="F33" s="88">
        <v>3596</v>
      </c>
      <c r="G33" s="87">
        <v>-1.6</v>
      </c>
      <c r="H33" s="87">
        <v>0.4</v>
      </c>
      <c r="I33" s="87">
        <v>0.4</v>
      </c>
      <c r="J33" s="87">
        <v>0</v>
      </c>
      <c r="S33" s="126"/>
      <c r="T33" s="126"/>
    </row>
    <row r="34" spans="1:20" ht="15.75" customHeight="1" x14ac:dyDescent="0.2">
      <c r="A34" s="86" t="s">
        <v>101</v>
      </c>
      <c r="B34" s="87">
        <v>0.3</v>
      </c>
      <c r="C34" s="87">
        <v>0.3</v>
      </c>
      <c r="D34" s="87">
        <v>0</v>
      </c>
      <c r="E34" s="88">
        <v>2809</v>
      </c>
      <c r="F34" s="88">
        <v>2843</v>
      </c>
      <c r="G34" s="87">
        <v>1.2</v>
      </c>
      <c r="H34" s="87">
        <v>0.8</v>
      </c>
      <c r="I34" s="87">
        <v>0.9</v>
      </c>
      <c r="J34" s="87">
        <v>12.5</v>
      </c>
      <c r="S34" s="126"/>
      <c r="T34" s="126"/>
    </row>
    <row r="35" spans="1:20" ht="15.75" customHeight="1" x14ac:dyDescent="0.2">
      <c r="A35" s="86" t="s">
        <v>102</v>
      </c>
      <c r="B35" s="87">
        <v>0.4</v>
      </c>
      <c r="C35" s="87">
        <v>0.4</v>
      </c>
      <c r="D35" s="87">
        <v>0</v>
      </c>
      <c r="E35" s="88">
        <v>2750</v>
      </c>
      <c r="F35" s="88">
        <v>2662</v>
      </c>
      <c r="G35" s="87">
        <v>-3.2</v>
      </c>
      <c r="H35" s="87">
        <v>1.1000000000000001</v>
      </c>
      <c r="I35" s="87">
        <v>1.1000000000000001</v>
      </c>
      <c r="J35" s="87">
        <v>0</v>
      </c>
      <c r="S35" s="126"/>
      <c r="T35" s="126"/>
    </row>
    <row r="36" spans="1:20" ht="15.75" customHeight="1" x14ac:dyDescent="0.2">
      <c r="A36" s="146" t="s">
        <v>103</v>
      </c>
      <c r="B36" s="147">
        <v>1.1000000000000001</v>
      </c>
      <c r="C36" s="147">
        <v>1</v>
      </c>
      <c r="D36" s="147">
        <v>-9.1</v>
      </c>
      <c r="E36" s="148">
        <v>2049</v>
      </c>
      <c r="F36" s="148">
        <v>1950</v>
      </c>
      <c r="G36" s="147">
        <v>-4.8</v>
      </c>
      <c r="H36" s="147">
        <v>2.2999999999999998</v>
      </c>
      <c r="I36" s="147">
        <v>2</v>
      </c>
      <c r="J36" s="147">
        <v>-13</v>
      </c>
    </row>
    <row r="37" spans="1:20" ht="15.75" customHeight="1" x14ac:dyDescent="0.2">
      <c r="A37" s="142" t="s">
        <v>104</v>
      </c>
      <c r="B37" s="143">
        <v>1.1000000000000001</v>
      </c>
      <c r="C37" s="143">
        <v>1</v>
      </c>
      <c r="D37" s="143">
        <v>-9.1</v>
      </c>
      <c r="E37" s="144">
        <v>2049</v>
      </c>
      <c r="F37" s="144">
        <v>1950</v>
      </c>
      <c r="G37" s="145">
        <v>-4.8</v>
      </c>
      <c r="H37" s="143">
        <v>2.2999999999999998</v>
      </c>
      <c r="I37" s="143">
        <v>2</v>
      </c>
      <c r="J37" s="143">
        <v>-13</v>
      </c>
      <c r="S37" s="126"/>
      <c r="T37" s="126"/>
    </row>
    <row r="38" spans="1:2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20" ht="15.75" customHeight="1" x14ac:dyDescent="0.2">
      <c r="A40" s="146" t="s">
        <v>107</v>
      </c>
      <c r="B40" s="147">
        <v>240.10000000000002</v>
      </c>
      <c r="C40" s="147">
        <v>173</v>
      </c>
      <c r="D40" s="147">
        <v>-27.9</v>
      </c>
      <c r="E40" s="148">
        <v>2519.1974177426073</v>
      </c>
      <c r="F40" s="148">
        <v>2065.8196531791905</v>
      </c>
      <c r="G40" s="147">
        <v>-18</v>
      </c>
      <c r="H40" s="147">
        <v>605</v>
      </c>
      <c r="I40" s="147">
        <v>357.29999999999995</v>
      </c>
      <c r="J40" s="147">
        <v>-40.9</v>
      </c>
    </row>
    <row r="41" spans="1:20" ht="15.75" customHeight="1" x14ac:dyDescent="0.2">
      <c r="A41" s="146" t="s">
        <v>108</v>
      </c>
      <c r="B41" s="147">
        <v>154.49999999999997</v>
      </c>
      <c r="C41" s="147">
        <v>79.899999999999991</v>
      </c>
      <c r="D41" s="147">
        <v>-48.3</v>
      </c>
      <c r="E41" s="148">
        <v>3580.2932038834952</v>
      </c>
      <c r="F41" s="148">
        <v>3592.7033792240304</v>
      </c>
      <c r="G41" s="147">
        <v>0.3</v>
      </c>
      <c r="H41" s="147">
        <v>553.20000000000005</v>
      </c>
      <c r="I41" s="147">
        <v>287.2</v>
      </c>
      <c r="J41" s="147">
        <v>-48.1</v>
      </c>
    </row>
    <row r="42" spans="1:20" ht="15.75" customHeight="1" x14ac:dyDescent="0.2">
      <c r="A42" s="149" t="s">
        <v>58</v>
      </c>
      <c r="B42" s="150">
        <v>394.6</v>
      </c>
      <c r="C42" s="150">
        <v>252.89999999999998</v>
      </c>
      <c r="D42" s="150">
        <v>-35.9</v>
      </c>
      <c r="E42" s="151">
        <v>2934.6543335022802</v>
      </c>
      <c r="F42" s="151">
        <v>2548.2158956109133</v>
      </c>
      <c r="G42" s="150">
        <v>-13.2</v>
      </c>
      <c r="H42" s="150">
        <v>1158.2</v>
      </c>
      <c r="I42" s="150">
        <v>644.5</v>
      </c>
      <c r="J42" s="150">
        <v>-44.4</v>
      </c>
    </row>
    <row r="43" spans="1:2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230" t="s">
        <v>212</v>
      </c>
    </row>
    <row r="46" spans="1:20" ht="20.25" customHeight="1" x14ac:dyDescent="0.2">
      <c r="H46" s="130"/>
    </row>
    <row r="47" spans="1:20" ht="20.25" customHeight="1" x14ac:dyDescent="0.2">
      <c r="A47" s="231"/>
      <c r="I47" s="232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10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21" width="11.42578125" style="1" customWidth="1"/>
  </cols>
  <sheetData>
    <row r="1" spans="1:10" ht="33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0.25" customHeight="1" x14ac:dyDescent="0.2">
      <c r="A5" s="458" t="s">
        <v>61</v>
      </c>
      <c r="B5" s="463" t="s">
        <v>62</v>
      </c>
      <c r="C5" s="463"/>
      <c r="D5" s="463"/>
      <c r="E5" s="464" t="s">
        <v>63</v>
      </c>
      <c r="F5" s="464"/>
      <c r="G5" s="464"/>
      <c r="H5" s="463" t="s">
        <v>64</v>
      </c>
      <c r="I5" s="463"/>
      <c r="J5" s="463"/>
    </row>
    <row r="6" spans="1:10" ht="20.25" customHeight="1" x14ac:dyDescent="0.2">
      <c r="A6" s="462"/>
      <c r="B6" s="233" t="s">
        <v>2</v>
      </c>
      <c r="C6" s="234" t="s">
        <v>5</v>
      </c>
      <c r="D6" s="234" t="s">
        <v>65</v>
      </c>
      <c r="E6" s="234" t="s">
        <v>2</v>
      </c>
      <c r="F6" s="235" t="s">
        <v>5</v>
      </c>
      <c r="G6" s="234" t="s">
        <v>65</v>
      </c>
      <c r="H6" s="234" t="s">
        <v>2</v>
      </c>
      <c r="I6" s="234" t="s">
        <v>5</v>
      </c>
      <c r="J6" s="236" t="s">
        <v>65</v>
      </c>
    </row>
    <row r="7" spans="1:10" ht="20.25" customHeight="1" x14ac:dyDescent="0.2">
      <c r="A7" s="459"/>
      <c r="B7" s="237" t="s">
        <v>66</v>
      </c>
      <c r="C7" s="238" t="s">
        <v>67</v>
      </c>
      <c r="D7" s="239" t="s">
        <v>68</v>
      </c>
      <c r="E7" s="238" t="s">
        <v>69</v>
      </c>
      <c r="F7" s="225" t="s">
        <v>70</v>
      </c>
      <c r="G7" s="238" t="s">
        <v>71</v>
      </c>
      <c r="H7" s="238" t="s">
        <v>72</v>
      </c>
      <c r="I7" s="238" t="s">
        <v>73</v>
      </c>
      <c r="J7" s="239" t="s">
        <v>74</v>
      </c>
    </row>
    <row r="8" spans="1:10" ht="15.75" customHeight="1" x14ac:dyDescent="0.2">
      <c r="A8" s="139" t="s">
        <v>75</v>
      </c>
      <c r="B8" s="140">
        <v>239.6</v>
      </c>
      <c r="C8" s="140">
        <v>181</v>
      </c>
      <c r="D8" s="140">
        <v>-24.5</v>
      </c>
      <c r="E8" s="141">
        <v>5077.9202838063447</v>
      </c>
      <c r="F8" s="141">
        <v>5056.0850828729281</v>
      </c>
      <c r="G8" s="140">
        <v>-0.4</v>
      </c>
      <c r="H8" s="140">
        <v>1216.8</v>
      </c>
      <c r="I8" s="140">
        <v>915.09999999999991</v>
      </c>
      <c r="J8" s="140">
        <v>-24.8</v>
      </c>
    </row>
    <row r="9" spans="1:10" s="51" customFormat="1" ht="15.75" customHeight="1" x14ac:dyDescent="0.2">
      <c r="A9" s="142" t="s">
        <v>76</v>
      </c>
      <c r="B9" s="143">
        <v>13.3</v>
      </c>
      <c r="C9" s="143">
        <v>13.3</v>
      </c>
      <c r="D9" s="143">
        <v>0</v>
      </c>
      <c r="E9" s="144">
        <v>7530</v>
      </c>
      <c r="F9" s="144">
        <v>7444.0000000000009</v>
      </c>
      <c r="G9" s="145">
        <v>-1.1000000000000001</v>
      </c>
      <c r="H9" s="143">
        <v>100.1</v>
      </c>
      <c r="I9" s="143">
        <v>99</v>
      </c>
      <c r="J9" s="143">
        <v>-1.1000000000000001</v>
      </c>
    </row>
    <row r="10" spans="1:10" ht="15.75" customHeight="1" x14ac:dyDescent="0.2">
      <c r="A10" s="142" t="s">
        <v>77</v>
      </c>
      <c r="B10" s="143">
        <v>44</v>
      </c>
      <c r="C10" s="143">
        <v>13.6</v>
      </c>
      <c r="D10" s="143">
        <v>-69.099999999999994</v>
      </c>
      <c r="E10" s="144">
        <v>3690</v>
      </c>
      <c r="F10" s="144">
        <v>3700</v>
      </c>
      <c r="G10" s="145">
        <v>0.3</v>
      </c>
      <c r="H10" s="143">
        <v>162.4</v>
      </c>
      <c r="I10" s="143">
        <v>50.3</v>
      </c>
      <c r="J10" s="143">
        <v>-69</v>
      </c>
    </row>
    <row r="11" spans="1:10" ht="15.75" customHeight="1" x14ac:dyDescent="0.2">
      <c r="A11" s="142" t="s">
        <v>78</v>
      </c>
      <c r="B11" s="143">
        <v>3.8</v>
      </c>
      <c r="C11" s="143">
        <v>3.5</v>
      </c>
      <c r="D11" s="143">
        <v>-7.9</v>
      </c>
      <c r="E11" s="144">
        <v>1227</v>
      </c>
      <c r="F11" s="144">
        <v>1259</v>
      </c>
      <c r="G11" s="145">
        <v>2.6</v>
      </c>
      <c r="H11" s="143">
        <v>4.7</v>
      </c>
      <c r="I11" s="143">
        <v>4.4000000000000004</v>
      </c>
      <c r="J11" s="143">
        <v>-6.4</v>
      </c>
    </row>
    <row r="12" spans="1:10" ht="15.75" customHeight="1" x14ac:dyDescent="0.2">
      <c r="A12" s="142" t="s">
        <v>79</v>
      </c>
      <c r="B12" s="143">
        <v>4.5999999999999996</v>
      </c>
      <c r="C12" s="143">
        <v>6.4</v>
      </c>
      <c r="D12" s="143">
        <v>39.1</v>
      </c>
      <c r="E12" s="144">
        <v>3252</v>
      </c>
      <c r="F12" s="144">
        <v>2870</v>
      </c>
      <c r="G12" s="145">
        <v>-11.7</v>
      </c>
      <c r="H12" s="143">
        <v>15</v>
      </c>
      <c r="I12" s="143">
        <v>18.399999999999999</v>
      </c>
      <c r="J12" s="143">
        <v>22.7</v>
      </c>
    </row>
    <row r="13" spans="1:10" ht="15.75" customHeight="1" x14ac:dyDescent="0.2">
      <c r="A13" s="142" t="s">
        <v>80</v>
      </c>
      <c r="B13" s="143">
        <v>0.9</v>
      </c>
      <c r="C13" s="143">
        <v>0.6</v>
      </c>
      <c r="D13" s="143">
        <v>-33.299999999999997</v>
      </c>
      <c r="E13" s="144">
        <v>1030</v>
      </c>
      <c r="F13" s="144">
        <v>1016.0000000000001</v>
      </c>
      <c r="G13" s="145">
        <v>-1.4</v>
      </c>
      <c r="H13" s="143">
        <v>0.9</v>
      </c>
      <c r="I13" s="143">
        <v>0.6</v>
      </c>
      <c r="J13" s="143">
        <v>-33.299999999999997</v>
      </c>
    </row>
    <row r="14" spans="1:10" ht="15.75" customHeight="1" x14ac:dyDescent="0.2">
      <c r="A14" s="142" t="s">
        <v>81</v>
      </c>
      <c r="B14" s="143">
        <v>39.5</v>
      </c>
      <c r="C14" s="143">
        <v>36.299999999999997</v>
      </c>
      <c r="D14" s="143">
        <v>-8.1</v>
      </c>
      <c r="E14" s="144">
        <v>2814.1265822784812</v>
      </c>
      <c r="F14" s="144">
        <v>2926.4242424242425</v>
      </c>
      <c r="G14" s="145">
        <v>4</v>
      </c>
      <c r="H14" s="143">
        <v>111.2</v>
      </c>
      <c r="I14" s="143">
        <v>106.2</v>
      </c>
      <c r="J14" s="143">
        <v>-4.5</v>
      </c>
    </row>
    <row r="15" spans="1:10" ht="15.75" customHeight="1" x14ac:dyDescent="0.2">
      <c r="A15" s="142" t="s">
        <v>82</v>
      </c>
      <c r="B15" s="143">
        <v>133.5</v>
      </c>
      <c r="C15" s="143">
        <v>107.3</v>
      </c>
      <c r="D15" s="143">
        <v>-19.600000000000001</v>
      </c>
      <c r="E15" s="144">
        <v>6160.7033707865176</v>
      </c>
      <c r="F15" s="144">
        <v>5929.2907735321533</v>
      </c>
      <c r="G15" s="145">
        <v>-3.8</v>
      </c>
      <c r="H15" s="143">
        <v>822.5</v>
      </c>
      <c r="I15" s="143">
        <v>636.19999999999993</v>
      </c>
      <c r="J15" s="143">
        <v>-22.7</v>
      </c>
    </row>
    <row r="16" spans="1:10" ht="15.75" customHeight="1" x14ac:dyDescent="0.2">
      <c r="A16" s="146" t="s">
        <v>83</v>
      </c>
      <c r="B16" s="147">
        <v>166.2</v>
      </c>
      <c r="C16" s="147">
        <v>130.1</v>
      </c>
      <c r="D16" s="147">
        <v>-21.7</v>
      </c>
      <c r="E16" s="148">
        <v>2788.1046931407946</v>
      </c>
      <c r="F16" s="148">
        <v>2489.1837048424291</v>
      </c>
      <c r="G16" s="147">
        <v>-10.7</v>
      </c>
      <c r="H16" s="147">
        <v>463.40000000000003</v>
      </c>
      <c r="I16" s="147">
        <v>323.89999999999998</v>
      </c>
      <c r="J16" s="147">
        <v>-30.1</v>
      </c>
    </row>
    <row r="17" spans="1:10" ht="15.75" customHeight="1" x14ac:dyDescent="0.2">
      <c r="A17" s="142" t="s">
        <v>84</v>
      </c>
      <c r="B17" s="143">
        <v>93.4</v>
      </c>
      <c r="C17" s="143">
        <v>65.3</v>
      </c>
      <c r="D17" s="143">
        <v>-30.1</v>
      </c>
      <c r="E17" s="144">
        <v>2992.0096359743038</v>
      </c>
      <c r="F17" s="144">
        <v>2291.8024502297094</v>
      </c>
      <c r="G17" s="145">
        <v>-23.4</v>
      </c>
      <c r="H17" s="143">
        <v>279.5</v>
      </c>
      <c r="I17" s="143">
        <v>149.69999999999999</v>
      </c>
      <c r="J17" s="143">
        <v>-46.4</v>
      </c>
    </row>
    <row r="18" spans="1:10" ht="15.75" customHeight="1" x14ac:dyDescent="0.2">
      <c r="A18" s="142" t="s">
        <v>85</v>
      </c>
      <c r="B18" s="143">
        <v>56.5</v>
      </c>
      <c r="C18" s="143">
        <v>51.5</v>
      </c>
      <c r="D18" s="143">
        <v>-8.8000000000000007</v>
      </c>
      <c r="E18" s="144">
        <v>1756.4106194690264</v>
      </c>
      <c r="F18" s="144">
        <v>1850.2737864077669</v>
      </c>
      <c r="G18" s="145">
        <v>5.3</v>
      </c>
      <c r="H18" s="143">
        <v>99.3</v>
      </c>
      <c r="I18" s="143">
        <v>95.3</v>
      </c>
      <c r="J18" s="143">
        <v>-4</v>
      </c>
    </row>
    <row r="19" spans="1:10" ht="15.75" customHeight="1" x14ac:dyDescent="0.2">
      <c r="A19" s="142" t="s">
        <v>86</v>
      </c>
      <c r="B19" s="143">
        <v>4.4000000000000004</v>
      </c>
      <c r="C19" s="143">
        <v>3.5</v>
      </c>
      <c r="D19" s="143">
        <v>-20.5</v>
      </c>
      <c r="E19" s="144">
        <v>2340.7499999999995</v>
      </c>
      <c r="F19" s="144">
        <v>2471.4</v>
      </c>
      <c r="G19" s="145">
        <v>5.6</v>
      </c>
      <c r="H19" s="143">
        <v>10.3</v>
      </c>
      <c r="I19" s="143">
        <v>8.6</v>
      </c>
      <c r="J19" s="143">
        <v>-16.5</v>
      </c>
    </row>
    <row r="20" spans="1:10" ht="15.75" customHeight="1" x14ac:dyDescent="0.2">
      <c r="A20" s="142" t="s">
        <v>87</v>
      </c>
      <c r="B20" s="143">
        <v>0.4</v>
      </c>
      <c r="C20" s="143">
        <v>0.3</v>
      </c>
      <c r="D20" s="143">
        <v>-25</v>
      </c>
      <c r="E20" s="144">
        <v>2811</v>
      </c>
      <c r="F20" s="144">
        <v>2517</v>
      </c>
      <c r="G20" s="145">
        <v>-10.5</v>
      </c>
      <c r="H20" s="143">
        <v>1.1000000000000001</v>
      </c>
      <c r="I20" s="143">
        <v>0.8</v>
      </c>
      <c r="J20" s="143">
        <v>-27.3</v>
      </c>
    </row>
    <row r="21" spans="1:10" ht="15.75" customHeight="1" x14ac:dyDescent="0.2">
      <c r="A21" s="142" t="s">
        <v>88</v>
      </c>
      <c r="B21" s="143">
        <v>2.6999999999999997</v>
      </c>
      <c r="C21" s="143">
        <v>1.6</v>
      </c>
      <c r="D21" s="143">
        <v>-40.700000000000003</v>
      </c>
      <c r="E21" s="144">
        <v>1311.4814814814815</v>
      </c>
      <c r="F21" s="144">
        <v>1603.75</v>
      </c>
      <c r="G21" s="145">
        <v>22.3</v>
      </c>
      <c r="H21" s="143">
        <v>3.5</v>
      </c>
      <c r="I21" s="143">
        <v>2.6</v>
      </c>
      <c r="J21" s="143">
        <v>-25.7</v>
      </c>
    </row>
    <row r="22" spans="1:1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10" ht="15.75" customHeight="1" x14ac:dyDescent="0.2">
      <c r="A23" s="142" t="s">
        <v>90</v>
      </c>
      <c r="B23" s="145">
        <v>2.6</v>
      </c>
      <c r="C23" s="145">
        <v>2.5</v>
      </c>
      <c r="D23" s="143">
        <v>-3.8</v>
      </c>
      <c r="E23" s="186">
        <v>7200</v>
      </c>
      <c r="F23" s="186">
        <v>8800</v>
      </c>
      <c r="G23" s="145">
        <v>22.2</v>
      </c>
      <c r="H23" s="145">
        <v>18.7</v>
      </c>
      <c r="I23" s="145">
        <v>22</v>
      </c>
      <c r="J23" s="145">
        <v>17.600000000000001</v>
      </c>
    </row>
    <row r="24" spans="1:10" ht="15.75" customHeight="1" x14ac:dyDescent="0.2">
      <c r="A24" s="142" t="s">
        <v>91</v>
      </c>
      <c r="B24" s="143">
        <v>6.2</v>
      </c>
      <c r="C24" s="143">
        <v>5.4</v>
      </c>
      <c r="D24" s="143">
        <v>-12.9</v>
      </c>
      <c r="E24" s="144">
        <v>8227</v>
      </c>
      <c r="F24" s="144">
        <v>8320</v>
      </c>
      <c r="G24" s="145">
        <v>1.1000000000000001</v>
      </c>
      <c r="H24" s="143">
        <v>51</v>
      </c>
      <c r="I24" s="143">
        <v>44.9</v>
      </c>
      <c r="J24" s="143">
        <v>-12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189.79999999999998</v>
      </c>
      <c r="C26" s="147">
        <v>107.5</v>
      </c>
      <c r="D26" s="147">
        <v>-43.4</v>
      </c>
      <c r="E26" s="148">
        <v>4157.660695468915</v>
      </c>
      <c r="F26" s="148">
        <v>4590.0418604651159</v>
      </c>
      <c r="G26" s="147">
        <v>10.4</v>
      </c>
      <c r="H26" s="147">
        <v>789.2</v>
      </c>
      <c r="I26" s="147">
        <v>493.4</v>
      </c>
      <c r="J26" s="147">
        <v>-37.5</v>
      </c>
    </row>
    <row r="27" spans="1:10" ht="15.75" customHeight="1" x14ac:dyDescent="0.2">
      <c r="A27" s="142" t="s">
        <v>94</v>
      </c>
      <c r="B27" s="143">
        <v>146.69999999999999</v>
      </c>
      <c r="C27" s="143">
        <v>74.099999999999994</v>
      </c>
      <c r="D27" s="143">
        <v>-49.5</v>
      </c>
      <c r="E27" s="144">
        <v>3661</v>
      </c>
      <c r="F27" s="144">
        <v>3673</v>
      </c>
      <c r="G27" s="145">
        <v>0.3</v>
      </c>
      <c r="H27" s="143">
        <v>537.1</v>
      </c>
      <c r="I27" s="143">
        <v>272.2</v>
      </c>
      <c r="J27" s="143">
        <v>-49.3</v>
      </c>
    </row>
    <row r="28" spans="1:10" ht="15" customHeight="1" x14ac:dyDescent="0.2">
      <c r="A28" s="142" t="s">
        <v>95</v>
      </c>
      <c r="B28" s="143">
        <v>13.7</v>
      </c>
      <c r="C28" s="143">
        <v>9.1999999999999993</v>
      </c>
      <c r="D28" s="143">
        <v>-32.799999999999997</v>
      </c>
      <c r="E28" s="144">
        <v>6888.9999999999991</v>
      </c>
      <c r="F28" s="144">
        <v>6418</v>
      </c>
      <c r="G28" s="145">
        <v>-6.8</v>
      </c>
      <c r="H28" s="143">
        <v>94.4</v>
      </c>
      <c r="I28" s="143">
        <v>59</v>
      </c>
      <c r="J28" s="143">
        <v>-37.5</v>
      </c>
    </row>
    <row r="29" spans="1:10" ht="15.75" customHeight="1" x14ac:dyDescent="0.2">
      <c r="A29" s="142" t="s">
        <v>96</v>
      </c>
      <c r="B29" s="143">
        <v>29</v>
      </c>
      <c r="C29" s="143">
        <v>23.8</v>
      </c>
      <c r="D29" s="143">
        <v>-17.899999999999999</v>
      </c>
      <c r="E29" s="144">
        <v>5350.5517241379312</v>
      </c>
      <c r="F29" s="144">
        <v>6708.2100840336134</v>
      </c>
      <c r="G29" s="145">
        <v>25.4</v>
      </c>
      <c r="H29" s="143">
        <v>155.19999999999999</v>
      </c>
      <c r="I29" s="143">
        <v>159.69999999999999</v>
      </c>
      <c r="J29" s="143">
        <v>2.9</v>
      </c>
    </row>
    <row r="30" spans="1:10" ht="15.75" customHeight="1" x14ac:dyDescent="0.2">
      <c r="A30" s="142" t="s">
        <v>97</v>
      </c>
      <c r="B30" s="143">
        <v>0.4</v>
      </c>
      <c r="C30" s="143">
        <v>0.4</v>
      </c>
      <c r="D30" s="143">
        <v>0</v>
      </c>
      <c r="E30" s="144">
        <v>6275</v>
      </c>
      <c r="F30" s="144">
        <v>6397.9999999999991</v>
      </c>
      <c r="G30" s="145">
        <v>2</v>
      </c>
      <c r="H30" s="143">
        <v>2.5</v>
      </c>
      <c r="I30" s="143">
        <v>2.5</v>
      </c>
      <c r="J30" s="143">
        <v>0</v>
      </c>
    </row>
    <row r="31" spans="1:10" ht="15.75" customHeight="1" x14ac:dyDescent="0.2">
      <c r="A31" s="146" t="s">
        <v>98</v>
      </c>
      <c r="B31" s="147">
        <v>30.5</v>
      </c>
      <c r="C31" s="147">
        <v>25</v>
      </c>
      <c r="D31" s="147">
        <v>-18</v>
      </c>
      <c r="E31" s="148">
        <v>4709.5967213114754</v>
      </c>
      <c r="F31" s="148">
        <v>5421.7519999999995</v>
      </c>
      <c r="G31" s="147">
        <v>15.1</v>
      </c>
      <c r="H31" s="147">
        <v>143.60000000000002</v>
      </c>
      <c r="I31" s="147">
        <v>135.70000000000002</v>
      </c>
      <c r="J31" s="147">
        <v>-5.5</v>
      </c>
    </row>
    <row r="32" spans="1:10" ht="15.75" customHeight="1" x14ac:dyDescent="0.2">
      <c r="A32" s="142" t="s">
        <v>99</v>
      </c>
      <c r="B32" s="145">
        <v>22.2</v>
      </c>
      <c r="C32" s="145">
        <v>16.7</v>
      </c>
      <c r="D32" s="143">
        <v>-24.8</v>
      </c>
      <c r="E32" s="186">
        <v>3933.9819819819818</v>
      </c>
      <c r="F32" s="186">
        <v>4791.4071856287428</v>
      </c>
      <c r="G32" s="145">
        <v>21.8</v>
      </c>
      <c r="H32" s="145">
        <v>87.300000000000011</v>
      </c>
      <c r="I32" s="145">
        <v>80</v>
      </c>
      <c r="J32" s="145">
        <v>-8.4</v>
      </c>
    </row>
    <row r="33" spans="1:10" ht="15.75" customHeight="1" x14ac:dyDescent="0.2">
      <c r="A33" s="142" t="s">
        <v>100</v>
      </c>
      <c r="B33" s="143">
        <v>0.1</v>
      </c>
      <c r="C33" s="143">
        <v>0.1</v>
      </c>
      <c r="D33" s="143">
        <v>0</v>
      </c>
      <c r="E33" s="144">
        <v>3656</v>
      </c>
      <c r="F33" s="144">
        <v>3596</v>
      </c>
      <c r="G33" s="145">
        <v>-1.6</v>
      </c>
      <c r="H33" s="143">
        <v>0.4</v>
      </c>
      <c r="I33" s="143">
        <v>0.4</v>
      </c>
      <c r="J33" s="143">
        <v>0</v>
      </c>
    </row>
    <row r="34" spans="1:10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2809</v>
      </c>
      <c r="F34" s="144">
        <v>2843</v>
      </c>
      <c r="G34" s="145">
        <v>1.2</v>
      </c>
      <c r="H34" s="143">
        <v>0.8</v>
      </c>
      <c r="I34" s="143">
        <v>0.9</v>
      </c>
      <c r="J34" s="143">
        <v>12.5</v>
      </c>
    </row>
    <row r="35" spans="1:10" ht="15.75" customHeight="1" x14ac:dyDescent="0.2">
      <c r="A35" s="142" t="s">
        <v>102</v>
      </c>
      <c r="B35" s="143">
        <v>7.9</v>
      </c>
      <c r="C35" s="143">
        <v>7.9</v>
      </c>
      <c r="D35" s="143">
        <v>0</v>
      </c>
      <c r="E35" s="144">
        <v>6974.6835443037971</v>
      </c>
      <c r="F35" s="144">
        <v>6875.2911392405067</v>
      </c>
      <c r="G35" s="145">
        <v>-1.4</v>
      </c>
      <c r="H35" s="143">
        <v>55.1</v>
      </c>
      <c r="I35" s="143">
        <v>54.4</v>
      </c>
      <c r="J35" s="143">
        <v>-1.3</v>
      </c>
    </row>
    <row r="36" spans="1:10" ht="15.75" customHeight="1" x14ac:dyDescent="0.2">
      <c r="A36" s="146" t="s">
        <v>103</v>
      </c>
      <c r="B36" s="147">
        <v>1137.8</v>
      </c>
      <c r="C36" s="147">
        <v>1073.1000000000001</v>
      </c>
      <c r="D36" s="147">
        <v>-5.7</v>
      </c>
      <c r="E36" s="148">
        <v>8916.0511513447</v>
      </c>
      <c r="F36" s="148">
        <v>8580.7343211257103</v>
      </c>
      <c r="G36" s="147">
        <v>-3.8</v>
      </c>
      <c r="H36" s="147">
        <v>10144.700000000001</v>
      </c>
      <c r="I36" s="147">
        <v>9208.1</v>
      </c>
      <c r="J36" s="147">
        <v>-9.1999999999999993</v>
      </c>
    </row>
    <row r="37" spans="1:10" ht="15.75" customHeight="1" x14ac:dyDescent="0.2">
      <c r="A37" s="142" t="s">
        <v>104</v>
      </c>
      <c r="B37" s="143">
        <v>19.700000000000003</v>
      </c>
      <c r="C37" s="143">
        <v>19.399999999999999</v>
      </c>
      <c r="D37" s="143">
        <v>-1.5</v>
      </c>
      <c r="E37" s="144">
        <v>6926.5431472081209</v>
      </c>
      <c r="F37" s="144">
        <v>7917.6701030927834</v>
      </c>
      <c r="G37" s="145">
        <v>14.3</v>
      </c>
      <c r="H37" s="143">
        <v>136.5</v>
      </c>
      <c r="I37" s="143">
        <v>153.69999999999999</v>
      </c>
      <c r="J37" s="143">
        <v>12.6</v>
      </c>
    </row>
    <row r="38" spans="1:10" ht="15.75" customHeight="1" x14ac:dyDescent="0.2">
      <c r="A38" s="142" t="s">
        <v>105</v>
      </c>
      <c r="B38" s="143">
        <v>150</v>
      </c>
      <c r="C38" s="143">
        <v>148.5</v>
      </c>
      <c r="D38" s="143">
        <v>-1</v>
      </c>
      <c r="E38" s="144">
        <v>8500</v>
      </c>
      <c r="F38" s="144">
        <v>8300</v>
      </c>
      <c r="G38" s="145">
        <v>-2.4</v>
      </c>
      <c r="H38" s="143">
        <v>1275</v>
      </c>
      <c r="I38" s="143">
        <v>1232.5999999999999</v>
      </c>
      <c r="J38" s="143">
        <v>-3.3</v>
      </c>
    </row>
    <row r="39" spans="1:10" ht="15.75" customHeight="1" x14ac:dyDescent="0.2">
      <c r="A39" s="142" t="s">
        <v>106</v>
      </c>
      <c r="B39" s="143">
        <v>968.1</v>
      </c>
      <c r="C39" s="143">
        <v>905.2</v>
      </c>
      <c r="D39" s="143">
        <v>-6.5</v>
      </c>
      <c r="E39" s="144">
        <v>9021</v>
      </c>
      <c r="F39" s="144">
        <v>8641</v>
      </c>
      <c r="G39" s="145">
        <v>-4.2</v>
      </c>
      <c r="H39" s="143">
        <v>8733.2000000000007</v>
      </c>
      <c r="I39" s="143">
        <v>7821.8</v>
      </c>
      <c r="J39" s="143">
        <v>-10.4</v>
      </c>
    </row>
    <row r="40" spans="1:10" ht="15.75" customHeight="1" x14ac:dyDescent="0.2">
      <c r="A40" s="146" t="s">
        <v>107</v>
      </c>
      <c r="B40" s="147">
        <v>405.79999999999995</v>
      </c>
      <c r="C40" s="147">
        <v>311.10000000000002</v>
      </c>
      <c r="D40" s="147">
        <v>-23.3</v>
      </c>
      <c r="E40" s="148">
        <v>4140.1002957121746</v>
      </c>
      <c r="F40" s="148">
        <v>3982.6235936997746</v>
      </c>
      <c r="G40" s="147">
        <v>-3.8</v>
      </c>
      <c r="H40" s="147">
        <v>1680.2</v>
      </c>
      <c r="I40" s="147">
        <v>1239</v>
      </c>
      <c r="J40" s="147">
        <v>-26.3</v>
      </c>
    </row>
    <row r="41" spans="1:10" ht="15.75" customHeight="1" x14ac:dyDescent="0.2">
      <c r="A41" s="146" t="s">
        <v>108</v>
      </c>
      <c r="B41" s="147">
        <v>1358.1</v>
      </c>
      <c r="C41" s="147">
        <v>1205.6000000000001</v>
      </c>
      <c r="D41" s="147">
        <v>-11.2</v>
      </c>
      <c r="E41" s="148">
        <v>8156.5788233561598</v>
      </c>
      <c r="F41" s="148">
        <v>8159.3889349701394</v>
      </c>
      <c r="G41" s="147">
        <v>0</v>
      </c>
      <c r="H41" s="147">
        <v>11077.5</v>
      </c>
      <c r="I41" s="147">
        <v>9837.2000000000007</v>
      </c>
      <c r="J41" s="147">
        <v>-11.2</v>
      </c>
    </row>
    <row r="42" spans="1:10" ht="15.75" customHeight="1" x14ac:dyDescent="0.2">
      <c r="A42" s="149" t="s">
        <v>58</v>
      </c>
      <c r="B42" s="150">
        <v>1763.8999999999999</v>
      </c>
      <c r="C42" s="150">
        <v>1516.7000000000003</v>
      </c>
      <c r="D42" s="150">
        <v>-14</v>
      </c>
      <c r="E42" s="151">
        <v>7232.5542264300693</v>
      </c>
      <c r="F42" s="151">
        <v>7302.6659853629581</v>
      </c>
      <c r="G42" s="150">
        <v>1</v>
      </c>
      <c r="H42" s="150">
        <v>12757.7</v>
      </c>
      <c r="I42" s="150">
        <v>11076.2</v>
      </c>
      <c r="J42" s="150">
        <v>-13.2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212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2.42578125" style="241" customWidth="1"/>
    <col min="2" max="2" width="12.42578125" style="241" customWidth="1"/>
    <col min="3" max="3" width="13" style="241" customWidth="1"/>
    <col min="4" max="4" width="9.42578125" style="241" customWidth="1"/>
    <col min="5" max="5" width="12.42578125" style="241" customWidth="1"/>
    <col min="6" max="9" width="11.42578125" style="241" customWidth="1"/>
    <col min="10" max="10" width="9.42578125" style="241" customWidth="1"/>
    <col min="11" max="16" width="11.42578125" style="241" customWidth="1"/>
  </cols>
  <sheetData>
    <row r="1" spans="1:20" ht="32.25" customHeight="1" x14ac:dyDescent="0.2">
      <c r="A1" s="465"/>
      <c r="B1" s="465"/>
      <c r="C1" s="465"/>
      <c r="D1" s="465"/>
      <c r="E1" s="465"/>
      <c r="F1" s="465"/>
      <c r="G1" s="465"/>
      <c r="H1" s="465"/>
      <c r="I1" s="465"/>
      <c r="J1" s="465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19.5" customHeight="1" x14ac:dyDescent="0.2">
      <c r="A5" s="466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20" ht="19.5" customHeight="1" x14ac:dyDescent="0.2">
      <c r="A6" s="467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20" ht="19.5" customHeight="1" x14ac:dyDescent="0.2">
      <c r="A7" s="468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8" t="s">
        <v>73</v>
      </c>
      <c r="J7" s="246" t="s">
        <v>74</v>
      </c>
    </row>
    <row r="8" spans="1:20" ht="15.75" customHeight="1" x14ac:dyDescent="0.2">
      <c r="A8" s="139" t="s">
        <v>75</v>
      </c>
      <c r="B8" s="140">
        <v>2.9</v>
      </c>
      <c r="C8" s="140">
        <v>2.9</v>
      </c>
      <c r="D8" s="140">
        <v>0</v>
      </c>
      <c r="E8" s="141">
        <v>640</v>
      </c>
      <c r="F8" s="141">
        <v>643</v>
      </c>
      <c r="G8" s="140">
        <v>0.5</v>
      </c>
      <c r="H8" s="140">
        <v>1.9</v>
      </c>
      <c r="I8" s="140">
        <v>1.9</v>
      </c>
      <c r="J8" s="140">
        <v>0</v>
      </c>
    </row>
    <row r="9" spans="1:2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.75" customHeight="1" x14ac:dyDescent="0.2">
      <c r="A14" s="86" t="s">
        <v>81</v>
      </c>
      <c r="B14" s="87">
        <v>2.9</v>
      </c>
      <c r="C14" s="87">
        <v>2.9</v>
      </c>
      <c r="D14" s="87">
        <v>0</v>
      </c>
      <c r="E14" s="88">
        <v>640</v>
      </c>
      <c r="F14" s="88">
        <v>643</v>
      </c>
      <c r="G14" s="87">
        <v>0.5</v>
      </c>
      <c r="H14" s="87">
        <v>1.9</v>
      </c>
      <c r="I14" s="87">
        <v>1.9</v>
      </c>
      <c r="J14" s="87">
        <v>0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</row>
    <row r="15" spans="1:20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20" ht="15.75" customHeight="1" x14ac:dyDescent="0.2">
      <c r="A16" s="146" t="s">
        <v>83</v>
      </c>
      <c r="B16" s="147">
        <v>68.3</v>
      </c>
      <c r="C16" s="147">
        <v>72.2</v>
      </c>
      <c r="D16" s="147">
        <v>5.7</v>
      </c>
      <c r="E16" s="148">
        <v>275</v>
      </c>
      <c r="F16" s="148">
        <v>1017.0000000000001</v>
      </c>
      <c r="G16" s="147">
        <v>269.8</v>
      </c>
      <c r="H16" s="147">
        <v>18.8</v>
      </c>
      <c r="I16" s="147">
        <v>73.400000000000006</v>
      </c>
      <c r="J16" s="147">
        <v>290.39999999999998</v>
      </c>
    </row>
    <row r="17" spans="1:2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customHeight="1" x14ac:dyDescent="0.2">
      <c r="A25" s="86" t="s">
        <v>92</v>
      </c>
      <c r="B25" s="87">
        <v>68.3</v>
      </c>
      <c r="C25" s="87">
        <v>72.2</v>
      </c>
      <c r="D25" s="87">
        <v>5.7</v>
      </c>
      <c r="E25" s="88">
        <v>275</v>
      </c>
      <c r="F25" s="88">
        <v>1017</v>
      </c>
      <c r="G25" s="87">
        <v>186.9</v>
      </c>
      <c r="H25" s="87">
        <v>18.8</v>
      </c>
      <c r="I25" s="87">
        <v>73.400000000000006</v>
      </c>
      <c r="J25" s="87">
        <v>290.39999999999998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.75" customHeight="1" x14ac:dyDescent="0.2">
      <c r="A26" s="146" t="s">
        <v>93</v>
      </c>
      <c r="B26" s="147">
        <v>57.2</v>
      </c>
      <c r="C26" s="147">
        <v>52</v>
      </c>
      <c r="D26" s="147">
        <v>-9.1</v>
      </c>
      <c r="E26" s="148">
        <v>2386.814685314685</v>
      </c>
      <c r="F26" s="148">
        <v>2402.5769230769229</v>
      </c>
      <c r="G26" s="147">
        <v>0.7</v>
      </c>
      <c r="H26" s="147">
        <v>136.5</v>
      </c>
      <c r="I26" s="147">
        <v>124.9</v>
      </c>
      <c r="J26" s="147">
        <v>-8.5</v>
      </c>
    </row>
    <row r="27" spans="1:20" ht="15.75" customHeight="1" x14ac:dyDescent="0.2">
      <c r="A27" s="142" t="s">
        <v>94</v>
      </c>
      <c r="B27" s="143">
        <v>4.2</v>
      </c>
      <c r="C27" s="143">
        <v>4</v>
      </c>
      <c r="D27" s="143">
        <v>-4.8</v>
      </c>
      <c r="E27" s="144">
        <v>2549</v>
      </c>
      <c r="F27" s="144">
        <v>2548</v>
      </c>
      <c r="G27" s="145">
        <v>0</v>
      </c>
      <c r="H27" s="143">
        <v>10.7</v>
      </c>
      <c r="I27" s="143">
        <v>10.199999999999999</v>
      </c>
      <c r="J27" s="143">
        <v>-4.7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 ht="15.75" hidden="1" customHeight="1" x14ac:dyDescent="0.2">
      <c r="A28" s="250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customHeight="1" x14ac:dyDescent="0.2">
      <c r="A29" s="142" t="s">
        <v>96</v>
      </c>
      <c r="B29" s="143">
        <v>43</v>
      </c>
      <c r="C29" s="143">
        <v>38</v>
      </c>
      <c r="D29" s="143">
        <v>-11.6</v>
      </c>
      <c r="E29" s="144">
        <v>2340</v>
      </c>
      <c r="F29" s="144">
        <v>2359</v>
      </c>
      <c r="G29" s="145">
        <v>0.8</v>
      </c>
      <c r="H29" s="143">
        <v>100.6</v>
      </c>
      <c r="I29" s="143">
        <v>89.6</v>
      </c>
      <c r="J29" s="143">
        <v>-10.9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</row>
    <row r="30" spans="1:20" ht="15.75" customHeight="1" x14ac:dyDescent="0.2">
      <c r="A30" s="86" t="s">
        <v>97</v>
      </c>
      <c r="B30" s="87">
        <v>10</v>
      </c>
      <c r="C30" s="87">
        <v>10</v>
      </c>
      <c r="D30" s="87">
        <v>0</v>
      </c>
      <c r="E30" s="88">
        <v>2520</v>
      </c>
      <c r="F30" s="88">
        <v>2510</v>
      </c>
      <c r="G30" s="87">
        <v>-0.4</v>
      </c>
      <c r="H30" s="87">
        <v>25.2</v>
      </c>
      <c r="I30" s="87">
        <v>25.1</v>
      </c>
      <c r="J30" s="87">
        <v>-0.4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</row>
    <row r="31" spans="1:20" ht="15.75" customHeight="1" x14ac:dyDescent="0.2">
      <c r="A31" s="146" t="s">
        <v>98</v>
      </c>
      <c r="B31" s="147">
        <v>156.80000000000001</v>
      </c>
      <c r="C31" s="147">
        <v>159.30000000000001</v>
      </c>
      <c r="D31" s="147">
        <v>1.6</v>
      </c>
      <c r="E31" s="148">
        <v>1951.3660714285713</v>
      </c>
      <c r="F31" s="148">
        <v>1976.7489014438165</v>
      </c>
      <c r="G31" s="147">
        <v>1.3</v>
      </c>
      <c r="H31" s="147">
        <v>306</v>
      </c>
      <c r="I31" s="147">
        <v>314.89999999999998</v>
      </c>
      <c r="J31" s="147">
        <v>2.9</v>
      </c>
    </row>
    <row r="32" spans="1:20" ht="15.75" customHeight="1" x14ac:dyDescent="0.2">
      <c r="A32" s="86" t="s">
        <v>99</v>
      </c>
      <c r="B32" s="87">
        <v>107.2</v>
      </c>
      <c r="C32" s="87">
        <v>109.7</v>
      </c>
      <c r="D32" s="87">
        <v>2.2999999999999998</v>
      </c>
      <c r="E32" s="88">
        <v>1784</v>
      </c>
      <c r="F32" s="88">
        <v>1793</v>
      </c>
      <c r="G32" s="87">
        <v>0.5</v>
      </c>
      <c r="H32" s="87">
        <v>191.2</v>
      </c>
      <c r="I32" s="87">
        <v>196.7</v>
      </c>
      <c r="J32" s="87">
        <v>2.9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.75" customHeight="1" x14ac:dyDescent="0.2">
      <c r="A33" s="142" t="s">
        <v>100</v>
      </c>
      <c r="B33" s="143">
        <v>4.5999999999999996</v>
      </c>
      <c r="C33" s="143">
        <v>4.5999999999999996</v>
      </c>
      <c r="D33" s="143">
        <v>0</v>
      </c>
      <c r="E33" s="144">
        <v>1189</v>
      </c>
      <c r="F33" s="144">
        <v>1240</v>
      </c>
      <c r="G33" s="145">
        <v>4.3</v>
      </c>
      <c r="H33" s="143">
        <v>5.5</v>
      </c>
      <c r="I33" s="143">
        <v>5.7</v>
      </c>
      <c r="J33" s="143">
        <v>3.6</v>
      </c>
      <c r="K33" s="126"/>
      <c r="L33" s="126"/>
      <c r="M33" s="126"/>
      <c r="N33" s="126"/>
      <c r="O33" s="126"/>
      <c r="P33" s="126"/>
      <c r="Q33" s="126"/>
      <c r="R33" s="126"/>
      <c r="S33" s="126"/>
      <c r="T33" s="126"/>
    </row>
    <row r="34" spans="1:2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customHeight="1" x14ac:dyDescent="0.2">
      <c r="A35" s="86" t="s">
        <v>102</v>
      </c>
      <c r="B35" s="87">
        <v>45</v>
      </c>
      <c r="C35" s="87">
        <v>45</v>
      </c>
      <c r="D35" s="87">
        <v>0</v>
      </c>
      <c r="E35" s="88">
        <v>2428</v>
      </c>
      <c r="F35" s="88">
        <v>2500</v>
      </c>
      <c r="G35" s="87">
        <v>3</v>
      </c>
      <c r="H35" s="87">
        <v>109.3</v>
      </c>
      <c r="I35" s="87">
        <v>112.5</v>
      </c>
      <c r="J35" s="87">
        <v>2.9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.75" customHeight="1" x14ac:dyDescent="0.2">
      <c r="A36" s="146" t="s">
        <v>103</v>
      </c>
      <c r="B36" s="147">
        <v>62.1</v>
      </c>
      <c r="C36" s="147">
        <v>46.8</v>
      </c>
      <c r="D36" s="147">
        <v>-24.6</v>
      </c>
      <c r="E36" s="148">
        <v>2087.3462157809981</v>
      </c>
      <c r="F36" s="148">
        <v>1851.4038461538462</v>
      </c>
      <c r="G36" s="147">
        <v>-11.3</v>
      </c>
      <c r="H36" s="147">
        <v>129.6</v>
      </c>
      <c r="I36" s="147">
        <v>86.6</v>
      </c>
      <c r="J36" s="147">
        <v>-33.200000000000003</v>
      </c>
    </row>
    <row r="37" spans="1:20" ht="15.75" customHeight="1" x14ac:dyDescent="0.2">
      <c r="A37" s="142" t="s">
        <v>104</v>
      </c>
      <c r="B37" s="143">
        <v>45.8</v>
      </c>
      <c r="C37" s="143">
        <v>33.299999999999997</v>
      </c>
      <c r="D37" s="143">
        <v>-27.3</v>
      </c>
      <c r="E37" s="144">
        <v>2043</v>
      </c>
      <c r="F37" s="144">
        <v>1829</v>
      </c>
      <c r="G37" s="145">
        <v>-10.5</v>
      </c>
      <c r="H37" s="143">
        <v>93.6</v>
      </c>
      <c r="I37" s="143">
        <v>60.9</v>
      </c>
      <c r="J37" s="143">
        <v>-34.9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customHeight="1" x14ac:dyDescent="0.2">
      <c r="A38" s="142" t="s">
        <v>105</v>
      </c>
      <c r="B38" s="143">
        <v>9.1</v>
      </c>
      <c r="C38" s="143">
        <v>7.2</v>
      </c>
      <c r="D38" s="143">
        <v>-20.8</v>
      </c>
      <c r="E38" s="144">
        <v>2060</v>
      </c>
      <c r="F38" s="144">
        <v>2000</v>
      </c>
      <c r="G38" s="145">
        <v>-2.9</v>
      </c>
      <c r="H38" s="143">
        <v>18.7</v>
      </c>
      <c r="I38" s="143">
        <v>14.4</v>
      </c>
      <c r="J38" s="143">
        <v>-23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</row>
    <row r="39" spans="1:20" ht="15.75" customHeight="1" x14ac:dyDescent="0.2">
      <c r="A39" s="142" t="s">
        <v>106</v>
      </c>
      <c r="B39" s="143">
        <v>7.2</v>
      </c>
      <c r="C39" s="143">
        <v>6.3</v>
      </c>
      <c r="D39" s="143">
        <v>-12</v>
      </c>
      <c r="E39" s="144">
        <v>2404</v>
      </c>
      <c r="F39" s="144">
        <v>1800</v>
      </c>
      <c r="G39" s="145">
        <v>-25.1</v>
      </c>
      <c r="H39" s="143">
        <v>17.3</v>
      </c>
      <c r="I39" s="143">
        <v>11.3</v>
      </c>
      <c r="J39" s="143">
        <v>-34.700000000000003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.75" customHeight="1" x14ac:dyDescent="0.2">
      <c r="A40" s="146" t="s">
        <v>107</v>
      </c>
      <c r="B40" s="147">
        <v>71.2</v>
      </c>
      <c r="C40" s="147">
        <v>75.100000000000009</v>
      </c>
      <c r="D40" s="147">
        <v>5.5</v>
      </c>
      <c r="E40" s="148">
        <v>289.86657303370788</v>
      </c>
      <c r="F40" s="148">
        <v>1002.5579227696404</v>
      </c>
      <c r="G40" s="147">
        <v>245.9</v>
      </c>
      <c r="H40" s="147">
        <v>20.7</v>
      </c>
      <c r="I40" s="147">
        <v>75.300000000000011</v>
      </c>
      <c r="J40" s="147">
        <v>263.8</v>
      </c>
    </row>
    <row r="41" spans="1:20" ht="15.75" customHeight="1" x14ac:dyDescent="0.2">
      <c r="A41" s="146" t="s">
        <v>108</v>
      </c>
      <c r="B41" s="147">
        <v>276.10000000000002</v>
      </c>
      <c r="C41" s="147">
        <v>258.10000000000002</v>
      </c>
      <c r="D41" s="147">
        <v>-6.5</v>
      </c>
      <c r="E41" s="148">
        <v>2072.1629844259323</v>
      </c>
      <c r="F41" s="148">
        <v>2039.8132506780314</v>
      </c>
      <c r="G41" s="147">
        <v>-1.6</v>
      </c>
      <c r="H41" s="147">
        <v>572.1</v>
      </c>
      <c r="I41" s="147">
        <v>526.4</v>
      </c>
      <c r="J41" s="147">
        <v>-8</v>
      </c>
    </row>
    <row r="42" spans="1:20" ht="15.75" customHeight="1" x14ac:dyDescent="0.2">
      <c r="A42" s="149" t="s">
        <v>58</v>
      </c>
      <c r="B42" s="150">
        <v>347.3</v>
      </c>
      <c r="C42" s="150">
        <v>333.20000000000005</v>
      </c>
      <c r="D42" s="150">
        <v>-4.0999999999999996</v>
      </c>
      <c r="E42" s="151">
        <v>1706.774258566081</v>
      </c>
      <c r="F42" s="151">
        <v>1806.0261104441772</v>
      </c>
      <c r="G42" s="150">
        <v>5.8</v>
      </c>
      <c r="H42" s="150">
        <v>592.80000000000007</v>
      </c>
      <c r="I42" s="150">
        <v>601.70000000000005</v>
      </c>
      <c r="J42" s="150">
        <v>1.5</v>
      </c>
    </row>
    <row r="43" spans="1:20" ht="15" customHeight="1" x14ac:dyDescent="0.2">
      <c r="A43" s="190" t="s">
        <v>7</v>
      </c>
      <c r="B43" s="191"/>
      <c r="C43" s="191"/>
      <c r="D43" s="191"/>
      <c r="E43" s="191"/>
      <c r="F43" s="251"/>
      <c r="G43" s="191"/>
      <c r="H43" s="191"/>
      <c r="I43" s="191"/>
      <c r="J43" s="191"/>
    </row>
    <row r="44" spans="1:20" ht="15" customHeight="1" x14ac:dyDescent="0.2">
      <c r="A44" s="192" t="s">
        <v>212</v>
      </c>
      <c r="B44" s="126"/>
      <c r="D44" s="126"/>
      <c r="E44" s="126"/>
      <c r="F44" s="126"/>
      <c r="G44" s="126"/>
      <c r="H44" s="126"/>
      <c r="I44" s="126"/>
      <c r="J44" s="126"/>
    </row>
    <row r="45" spans="1:20" ht="12.75" customHeight="1" x14ac:dyDescent="0.2">
      <c r="H45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7.42578125" style="241" customWidth="1"/>
    <col min="5" max="9" width="11.42578125" style="241" customWidth="1"/>
    <col min="10" max="10" width="8" style="241" customWidth="1"/>
    <col min="11" max="16" width="11.42578125" style="241" customWidth="1"/>
  </cols>
  <sheetData>
    <row r="1" spans="1:10" ht="32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19.5" customHeight="1" x14ac:dyDescent="0.2">
      <c r="A5" s="471" t="s">
        <v>61</v>
      </c>
      <c r="B5" s="474" t="s">
        <v>62</v>
      </c>
      <c r="C5" s="475"/>
      <c r="D5" s="476"/>
      <c r="E5" s="477" t="s">
        <v>63</v>
      </c>
      <c r="F5" s="478"/>
      <c r="G5" s="479"/>
      <c r="H5" s="480" t="s">
        <v>64</v>
      </c>
      <c r="I5" s="475"/>
      <c r="J5" s="476"/>
    </row>
    <row r="6" spans="1:10" ht="19.5" customHeight="1" x14ac:dyDescent="0.2">
      <c r="A6" s="472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3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228" t="s">
        <v>83</v>
      </c>
      <c r="B16" s="219">
        <v>0</v>
      </c>
      <c r="C16" s="219">
        <v>0</v>
      </c>
      <c r="D16" s="219">
        <v>0</v>
      </c>
      <c r="E16" s="256">
        <v>0</v>
      </c>
      <c r="F16" s="256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20" ht="15" hidden="1" customHeight="1" x14ac:dyDescent="0.2">
      <c r="A17" s="255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20" ht="15" hidden="1" customHeight="1" x14ac:dyDescent="0.2">
      <c r="A18" s="255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20" ht="15" hidden="1" customHeight="1" x14ac:dyDescent="0.2">
      <c r="A19" s="255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20" ht="15" hidden="1" customHeight="1" x14ac:dyDescent="0.2">
      <c r="A20" s="255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20" ht="15" hidden="1" customHeight="1" x14ac:dyDescent="0.2">
      <c r="A21" s="255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20" ht="15" hidden="1" customHeight="1" x14ac:dyDescent="0.2">
      <c r="A22" s="255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20" ht="15" hidden="1" customHeight="1" x14ac:dyDescent="0.2">
      <c r="A23" s="255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20" ht="15" hidden="1" customHeight="1" x14ac:dyDescent="0.2">
      <c r="A24" s="255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20" ht="15" hidden="1" customHeight="1" x14ac:dyDescent="0.2">
      <c r="A25" s="257" t="s">
        <v>92</v>
      </c>
      <c r="B25" s="204">
        <v>0</v>
      </c>
      <c r="C25" s="204">
        <v>0</v>
      </c>
      <c r="D25" s="201">
        <v>0</v>
      </c>
      <c r="E25" s="205">
        <v>0</v>
      </c>
      <c r="F25" s="205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20" ht="15.75" customHeight="1" x14ac:dyDescent="0.2">
      <c r="A26" s="146" t="s">
        <v>93</v>
      </c>
      <c r="B26" s="147">
        <v>1</v>
      </c>
      <c r="C26" s="147">
        <v>1</v>
      </c>
      <c r="D26" s="147">
        <v>0</v>
      </c>
      <c r="E26" s="148">
        <v>1913</v>
      </c>
      <c r="F26" s="148">
        <v>1905</v>
      </c>
      <c r="G26" s="147">
        <v>-0.4</v>
      </c>
      <c r="H26" s="147">
        <v>1.9</v>
      </c>
      <c r="I26" s="147">
        <v>1.9</v>
      </c>
      <c r="J26" s="147">
        <v>0</v>
      </c>
    </row>
    <row r="27" spans="1:2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.75" customHeight="1" x14ac:dyDescent="0.2">
      <c r="A30" s="86" t="s">
        <v>97</v>
      </c>
      <c r="B30" s="87">
        <v>1</v>
      </c>
      <c r="C30" s="87">
        <v>1</v>
      </c>
      <c r="D30" s="87">
        <v>0.9</v>
      </c>
      <c r="E30" s="88">
        <v>1913</v>
      </c>
      <c r="F30" s="88">
        <v>1905</v>
      </c>
      <c r="G30" s="87">
        <v>-0.4</v>
      </c>
      <c r="H30" s="87">
        <v>1.9</v>
      </c>
      <c r="I30" s="87">
        <v>1.9</v>
      </c>
      <c r="J30" s="87">
        <v>0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</row>
    <row r="31" spans="1:20" ht="15.75" customHeight="1" x14ac:dyDescent="0.2">
      <c r="A31" s="146" t="s">
        <v>98</v>
      </c>
      <c r="B31" s="147">
        <v>7.3999999999999995</v>
      </c>
      <c r="C31" s="147">
        <v>7.5</v>
      </c>
      <c r="D31" s="147">
        <v>1.4</v>
      </c>
      <c r="E31" s="148">
        <v>868.95945945945937</v>
      </c>
      <c r="F31" s="148">
        <v>872.72</v>
      </c>
      <c r="G31" s="147">
        <v>0.4</v>
      </c>
      <c r="H31" s="147">
        <v>6.3999999999999995</v>
      </c>
      <c r="I31" s="147">
        <v>6.5</v>
      </c>
      <c r="J31" s="147">
        <v>1.6</v>
      </c>
    </row>
    <row r="32" spans="1:20" ht="15.75" customHeight="1" x14ac:dyDescent="0.2">
      <c r="A32" s="142" t="s">
        <v>99</v>
      </c>
      <c r="B32" s="143">
        <v>7.1</v>
      </c>
      <c r="C32" s="143">
        <v>7.2</v>
      </c>
      <c r="D32" s="143">
        <v>1.8</v>
      </c>
      <c r="E32" s="144">
        <v>863</v>
      </c>
      <c r="F32" s="144">
        <v>867</v>
      </c>
      <c r="G32" s="145">
        <v>0.5</v>
      </c>
      <c r="H32" s="143">
        <v>6.1</v>
      </c>
      <c r="I32" s="143">
        <v>6.2</v>
      </c>
      <c r="J32" s="143">
        <v>1.6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.75" customHeight="1" x14ac:dyDescent="0.2">
      <c r="A34" s="142" t="s">
        <v>101</v>
      </c>
      <c r="B34" s="143">
        <v>0.3</v>
      </c>
      <c r="C34" s="143">
        <v>0.3</v>
      </c>
      <c r="D34" s="143">
        <v>0</v>
      </c>
      <c r="E34" s="144">
        <v>1010</v>
      </c>
      <c r="F34" s="144">
        <v>1010</v>
      </c>
      <c r="G34" s="145">
        <v>0</v>
      </c>
      <c r="H34" s="143">
        <v>0.3</v>
      </c>
      <c r="I34" s="143">
        <v>0.3</v>
      </c>
      <c r="J34" s="143">
        <v>0</v>
      </c>
    </row>
    <row r="35" spans="1:2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20" ht="15.75" customHeight="1" x14ac:dyDescent="0.2">
      <c r="A36" s="146" t="s">
        <v>103</v>
      </c>
      <c r="B36" s="147">
        <v>160.6</v>
      </c>
      <c r="C36" s="147">
        <v>107.7</v>
      </c>
      <c r="D36" s="147">
        <v>-32.9</v>
      </c>
      <c r="E36" s="148">
        <v>2003.4894146948943</v>
      </c>
      <c r="F36" s="148">
        <v>1821.6276694521821</v>
      </c>
      <c r="G36" s="147">
        <v>-9.1</v>
      </c>
      <c r="H36" s="147">
        <v>321.89999999999998</v>
      </c>
      <c r="I36" s="147">
        <v>196.2</v>
      </c>
      <c r="J36" s="147">
        <v>-39</v>
      </c>
    </row>
    <row r="37" spans="1:20" ht="15.75" customHeight="1" x14ac:dyDescent="0.2">
      <c r="A37" s="142" t="s">
        <v>104</v>
      </c>
      <c r="B37" s="143">
        <v>117.5</v>
      </c>
      <c r="C37" s="143">
        <v>70.7</v>
      </c>
      <c r="D37" s="143">
        <v>-39.799999999999997</v>
      </c>
      <c r="E37" s="144">
        <v>2043</v>
      </c>
      <c r="F37" s="144">
        <v>1847</v>
      </c>
      <c r="G37" s="145">
        <v>-9.6</v>
      </c>
      <c r="H37" s="143">
        <v>240.1</v>
      </c>
      <c r="I37" s="143">
        <v>130.6</v>
      </c>
      <c r="J37" s="143">
        <v>-45.6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customHeight="1" x14ac:dyDescent="0.2">
      <c r="A38" s="142" t="s">
        <v>105</v>
      </c>
      <c r="B38" s="143">
        <v>23.2</v>
      </c>
      <c r="C38" s="143">
        <v>19.8</v>
      </c>
      <c r="D38" s="143">
        <v>-14.7</v>
      </c>
      <c r="E38" s="144">
        <v>2080</v>
      </c>
      <c r="F38" s="144">
        <v>2000</v>
      </c>
      <c r="G38" s="145">
        <v>-3.8</v>
      </c>
      <c r="H38" s="143">
        <v>48.3</v>
      </c>
      <c r="I38" s="143">
        <v>39.6</v>
      </c>
      <c r="J38" s="143">
        <v>-18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</row>
    <row r="39" spans="1:20" ht="15.75" customHeight="1" x14ac:dyDescent="0.2">
      <c r="A39" s="142" t="s">
        <v>106</v>
      </c>
      <c r="B39" s="143">
        <v>19.899999999999999</v>
      </c>
      <c r="C39" s="143">
        <v>17.2</v>
      </c>
      <c r="D39" s="143">
        <v>-13.6</v>
      </c>
      <c r="E39" s="144">
        <v>1681</v>
      </c>
      <c r="F39" s="144">
        <v>1512</v>
      </c>
      <c r="G39" s="145">
        <v>-10.1</v>
      </c>
      <c r="H39" s="143">
        <v>33.5</v>
      </c>
      <c r="I39" s="143">
        <v>26</v>
      </c>
      <c r="J39" s="143">
        <v>-22.4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20" ht="15.75" customHeight="1" x14ac:dyDescent="0.2">
      <c r="A41" s="146" t="s">
        <v>108</v>
      </c>
      <c r="B41" s="147">
        <v>169</v>
      </c>
      <c r="C41" s="147">
        <v>116.2</v>
      </c>
      <c r="D41" s="147">
        <v>-31.2</v>
      </c>
      <c r="E41" s="148">
        <v>1953.2763313609469</v>
      </c>
      <c r="F41" s="148">
        <v>1761.0989672977626</v>
      </c>
      <c r="G41" s="147">
        <v>-9.8000000000000007</v>
      </c>
      <c r="H41" s="147">
        <v>330.2</v>
      </c>
      <c r="I41" s="147">
        <v>204.6</v>
      </c>
      <c r="J41" s="147">
        <v>-38</v>
      </c>
    </row>
    <row r="42" spans="1:20" ht="15.75" customHeight="1" x14ac:dyDescent="0.2">
      <c r="A42" s="149" t="s">
        <v>58</v>
      </c>
      <c r="B42" s="150">
        <v>169</v>
      </c>
      <c r="C42" s="150">
        <v>116.2</v>
      </c>
      <c r="D42" s="150">
        <v>-31.2</v>
      </c>
      <c r="E42" s="151">
        <v>1953.2763313609469</v>
      </c>
      <c r="F42" s="151">
        <v>1761.0989672977626</v>
      </c>
      <c r="G42" s="150">
        <v>-9.8000000000000007</v>
      </c>
      <c r="H42" s="150">
        <v>330.2</v>
      </c>
      <c r="I42" s="150">
        <v>204.6</v>
      </c>
      <c r="J42" s="150">
        <v>-38</v>
      </c>
    </row>
    <row r="43" spans="1:20" ht="15" customHeight="1" x14ac:dyDescent="0.2">
      <c r="A43" s="190" t="s">
        <v>7</v>
      </c>
      <c r="B43" s="191"/>
      <c r="C43" s="191"/>
      <c r="D43" s="260"/>
      <c r="E43" s="191"/>
      <c r="F43" s="191"/>
      <c r="G43" s="191"/>
      <c r="H43" s="191"/>
      <c r="I43" s="191"/>
      <c r="J43" s="191"/>
    </row>
    <row r="44" spans="1:20" ht="15" customHeight="1" x14ac:dyDescent="0.2">
      <c r="A44" s="192" t="s">
        <v>212</v>
      </c>
      <c r="B44" s="126"/>
      <c r="C44" s="261"/>
      <c r="D44" s="126"/>
      <c r="E44" s="126"/>
      <c r="F44" s="126"/>
      <c r="G44" s="126"/>
      <c r="H44" s="126"/>
      <c r="I44" s="126"/>
      <c r="J44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9" width="11.42578125" style="241" customWidth="1"/>
    <col min="10" max="10" width="12" style="241" customWidth="1"/>
    <col min="11" max="16" width="11.42578125" style="241" customWidth="1"/>
  </cols>
  <sheetData>
    <row r="1" spans="1:20" ht="40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19.5" customHeight="1" x14ac:dyDescent="0.2">
      <c r="A5" s="481" t="s">
        <v>61</v>
      </c>
      <c r="B5" s="483" t="s">
        <v>62</v>
      </c>
      <c r="C5" s="483"/>
      <c r="D5" s="483"/>
      <c r="E5" s="481" t="s">
        <v>63</v>
      </c>
      <c r="F5" s="481"/>
      <c r="G5" s="481"/>
      <c r="H5" s="483" t="s">
        <v>64</v>
      </c>
      <c r="I5" s="483"/>
      <c r="J5" s="483"/>
    </row>
    <row r="6" spans="1:20" ht="19.5" customHeight="1" x14ac:dyDescent="0.2">
      <c r="A6" s="477"/>
      <c r="B6" s="262" t="s">
        <v>2</v>
      </c>
      <c r="C6" s="262" t="s">
        <v>5</v>
      </c>
      <c r="D6" s="262" t="s">
        <v>65</v>
      </c>
      <c r="E6" s="262" t="s">
        <v>2</v>
      </c>
      <c r="F6" s="262" t="s">
        <v>5</v>
      </c>
      <c r="G6" s="262" t="s">
        <v>65</v>
      </c>
      <c r="H6" s="262" t="s">
        <v>2</v>
      </c>
      <c r="I6" s="262" t="s">
        <v>5</v>
      </c>
      <c r="J6" s="262" t="s">
        <v>65</v>
      </c>
    </row>
    <row r="7" spans="1:20" ht="19.5" customHeight="1" x14ac:dyDescent="0.2">
      <c r="A7" s="482"/>
      <c r="B7" s="245" t="s">
        <v>66</v>
      </c>
      <c r="C7" s="248" t="s">
        <v>67</v>
      </c>
      <c r="D7" s="247" t="s">
        <v>68</v>
      </c>
      <c r="E7" s="248" t="s">
        <v>69</v>
      </c>
      <c r="F7" s="247" t="s">
        <v>70</v>
      </c>
      <c r="G7" s="248" t="s">
        <v>71</v>
      </c>
      <c r="H7" s="246" t="s">
        <v>72</v>
      </c>
      <c r="I7" s="246" t="s">
        <v>73</v>
      </c>
      <c r="J7" s="246" t="s">
        <v>74</v>
      </c>
    </row>
    <row r="8" spans="1:20" ht="15" customHeight="1" x14ac:dyDescent="0.2">
      <c r="A8" s="139" t="s">
        <v>75</v>
      </c>
      <c r="B8" s="140">
        <v>9.6999999999999993</v>
      </c>
      <c r="C8" s="140">
        <v>9.3000000000000007</v>
      </c>
      <c r="D8" s="140">
        <v>-4.0999999999999996</v>
      </c>
      <c r="E8" s="141">
        <v>837.70103092783506</v>
      </c>
      <c r="F8" s="141">
        <v>978.72043010752679</v>
      </c>
      <c r="G8" s="140">
        <v>16.8</v>
      </c>
      <c r="H8" s="140">
        <v>8.1</v>
      </c>
      <c r="I8" s="140">
        <v>9.1</v>
      </c>
      <c r="J8" s="140">
        <v>12.3</v>
      </c>
    </row>
    <row r="9" spans="1:20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.75" customHeight="1" x14ac:dyDescent="0.2">
      <c r="A12" s="86" t="s">
        <v>79</v>
      </c>
      <c r="B12" s="87">
        <v>2.2000000000000002</v>
      </c>
      <c r="C12" s="87">
        <v>1.9</v>
      </c>
      <c r="D12" s="87">
        <v>-13.6</v>
      </c>
      <c r="E12" s="88">
        <v>731</v>
      </c>
      <c r="F12" s="88">
        <v>853</v>
      </c>
      <c r="G12" s="87">
        <v>16.7</v>
      </c>
      <c r="H12" s="87">
        <v>1.6</v>
      </c>
      <c r="I12" s="87">
        <v>1.6</v>
      </c>
      <c r="J12" s="87">
        <v>0</v>
      </c>
      <c r="K12" s="126"/>
      <c r="L12" s="126"/>
      <c r="M12" s="126"/>
      <c r="N12" s="126"/>
      <c r="O12" s="126"/>
      <c r="P12" s="126"/>
      <c r="Q12" s="126"/>
      <c r="R12" s="126"/>
      <c r="S12" s="126"/>
      <c r="T12" s="126"/>
    </row>
    <row r="13" spans="1:20" ht="15.75" hidden="1" customHeight="1" x14ac:dyDescent="0.2">
      <c r="A13" s="142" t="s">
        <v>80</v>
      </c>
      <c r="B13" s="263">
        <v>0</v>
      </c>
      <c r="C13" s="263">
        <v>0</v>
      </c>
      <c r="D13" s="143">
        <v>0</v>
      </c>
      <c r="E13" s="144">
        <v>0</v>
      </c>
      <c r="F13" s="26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.75" hidden="1" customHeight="1" x14ac:dyDescent="0.2">
      <c r="A14" s="142" t="s">
        <v>81</v>
      </c>
      <c r="B14" s="263">
        <v>0</v>
      </c>
      <c r="C14" s="263">
        <v>0</v>
      </c>
      <c r="D14" s="143">
        <v>0</v>
      </c>
      <c r="E14" s="144">
        <v>0</v>
      </c>
      <c r="F14" s="26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20" ht="15.75" customHeight="1" x14ac:dyDescent="0.2">
      <c r="A15" s="86" t="s">
        <v>82</v>
      </c>
      <c r="B15" s="87">
        <v>7.5</v>
      </c>
      <c r="C15" s="87">
        <v>7.4</v>
      </c>
      <c r="D15" s="87">
        <v>-1.3</v>
      </c>
      <c r="E15" s="88">
        <v>869</v>
      </c>
      <c r="F15" s="88">
        <v>1011</v>
      </c>
      <c r="G15" s="87">
        <v>16.3</v>
      </c>
      <c r="H15" s="87">
        <v>6.5</v>
      </c>
      <c r="I15" s="87">
        <v>7.5</v>
      </c>
      <c r="J15" s="87">
        <v>15.4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</row>
    <row r="16" spans="1:20" ht="15.75" customHeight="1" x14ac:dyDescent="0.2">
      <c r="A16" s="146" t="s">
        <v>83</v>
      </c>
      <c r="B16" s="147">
        <v>362.20000000000005</v>
      </c>
      <c r="C16" s="147">
        <v>313.60000000000002</v>
      </c>
      <c r="D16" s="147">
        <v>-13.4</v>
      </c>
      <c r="E16" s="148">
        <v>324.63859745996683</v>
      </c>
      <c r="F16" s="148">
        <v>458.45535714285711</v>
      </c>
      <c r="G16" s="147">
        <v>41.2</v>
      </c>
      <c r="H16" s="147">
        <v>117.60000000000001</v>
      </c>
      <c r="I16" s="147">
        <v>143.80000000000001</v>
      </c>
      <c r="J16" s="147">
        <v>22.3</v>
      </c>
    </row>
    <row r="17" spans="1:20" ht="15.75" customHeight="1" x14ac:dyDescent="0.2">
      <c r="A17" s="86" t="s">
        <v>84</v>
      </c>
      <c r="B17" s="87">
        <v>16.3</v>
      </c>
      <c r="C17" s="87">
        <v>12.8</v>
      </c>
      <c r="D17" s="87">
        <v>-21.5</v>
      </c>
      <c r="E17" s="88">
        <v>595</v>
      </c>
      <c r="F17" s="88">
        <v>468</v>
      </c>
      <c r="G17" s="87">
        <v>-21.3</v>
      </c>
      <c r="H17" s="87">
        <v>9.6999999999999993</v>
      </c>
      <c r="I17" s="87">
        <v>6</v>
      </c>
      <c r="J17" s="87">
        <v>-38.1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</row>
    <row r="18" spans="1:20" ht="15.75" customHeight="1" x14ac:dyDescent="0.2">
      <c r="A18" s="86" t="s">
        <v>85</v>
      </c>
      <c r="B18" s="87">
        <v>193.3</v>
      </c>
      <c r="C18" s="87">
        <v>182.1</v>
      </c>
      <c r="D18" s="87">
        <v>-5.8</v>
      </c>
      <c r="E18" s="88">
        <v>212</v>
      </c>
      <c r="F18" s="88">
        <v>334</v>
      </c>
      <c r="G18" s="87">
        <v>57.5</v>
      </c>
      <c r="H18" s="87">
        <v>41</v>
      </c>
      <c r="I18" s="87">
        <v>60.8</v>
      </c>
      <c r="J18" s="87">
        <v>48.3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</row>
    <row r="19" spans="1:2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customHeight="1" x14ac:dyDescent="0.2">
      <c r="A22" s="86" t="s">
        <v>89</v>
      </c>
      <c r="B22" s="87">
        <v>5</v>
      </c>
      <c r="C22" s="87">
        <v>5</v>
      </c>
      <c r="D22" s="87">
        <v>0</v>
      </c>
      <c r="E22" s="88">
        <v>540</v>
      </c>
      <c r="F22" s="88">
        <v>520</v>
      </c>
      <c r="G22" s="87">
        <v>-3.7</v>
      </c>
      <c r="H22" s="87">
        <v>2.7</v>
      </c>
      <c r="I22" s="87">
        <v>2.6</v>
      </c>
      <c r="J22" s="87">
        <v>-3.7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customHeight="1" x14ac:dyDescent="0.2">
      <c r="A25" s="86" t="s">
        <v>92</v>
      </c>
      <c r="B25" s="87">
        <v>147.6</v>
      </c>
      <c r="C25" s="87">
        <v>113.7</v>
      </c>
      <c r="D25" s="87">
        <v>-23</v>
      </c>
      <c r="E25" s="88">
        <v>435</v>
      </c>
      <c r="F25" s="88">
        <v>654</v>
      </c>
      <c r="G25" s="87">
        <v>50.3</v>
      </c>
      <c r="H25" s="87">
        <v>64.2</v>
      </c>
      <c r="I25" s="87">
        <v>74.400000000000006</v>
      </c>
      <c r="J25" s="87">
        <v>15.9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.75" customHeight="1" x14ac:dyDescent="0.2">
      <c r="A26" s="146" t="s">
        <v>93</v>
      </c>
      <c r="B26" s="147">
        <v>6.2</v>
      </c>
      <c r="C26" s="147">
        <v>6.2</v>
      </c>
      <c r="D26" s="147">
        <v>0</v>
      </c>
      <c r="E26" s="148">
        <v>1000</v>
      </c>
      <c r="F26" s="148">
        <v>1064</v>
      </c>
      <c r="G26" s="147">
        <v>6.4</v>
      </c>
      <c r="H26" s="147">
        <v>6.2</v>
      </c>
      <c r="I26" s="147">
        <v>6.6</v>
      </c>
      <c r="J26" s="147">
        <v>6.5</v>
      </c>
    </row>
    <row r="27" spans="1:20" ht="15.75" customHeight="1" x14ac:dyDescent="0.2">
      <c r="A27" s="142" t="s">
        <v>94</v>
      </c>
      <c r="B27" s="143">
        <v>6.2</v>
      </c>
      <c r="C27" s="143">
        <v>6.2</v>
      </c>
      <c r="D27" s="143">
        <v>0</v>
      </c>
      <c r="E27" s="144">
        <v>1000</v>
      </c>
      <c r="F27" s="144">
        <v>1064</v>
      </c>
      <c r="G27" s="145">
        <v>6.4</v>
      </c>
      <c r="H27" s="143">
        <v>6.2</v>
      </c>
      <c r="I27" s="143">
        <v>6.6</v>
      </c>
      <c r="J27" s="143">
        <v>6.5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.75" customHeight="1" x14ac:dyDescent="0.2">
      <c r="A31" s="146" t="s">
        <v>98</v>
      </c>
      <c r="B31" s="147">
        <v>14.1</v>
      </c>
      <c r="C31" s="147">
        <v>14.5</v>
      </c>
      <c r="D31" s="147">
        <v>2.8</v>
      </c>
      <c r="E31" s="148">
        <v>553</v>
      </c>
      <c r="F31" s="148">
        <v>555</v>
      </c>
      <c r="G31" s="147">
        <v>0.4</v>
      </c>
      <c r="H31" s="147">
        <v>7.8</v>
      </c>
      <c r="I31" s="147">
        <v>8</v>
      </c>
      <c r="J31" s="147">
        <v>2.6</v>
      </c>
    </row>
    <row r="32" spans="1:20" ht="15.75" customHeight="1" x14ac:dyDescent="0.2">
      <c r="A32" s="142" t="s">
        <v>99</v>
      </c>
      <c r="B32" s="143">
        <v>14.1</v>
      </c>
      <c r="C32" s="143">
        <v>14.5</v>
      </c>
      <c r="D32" s="143">
        <v>2.5</v>
      </c>
      <c r="E32" s="144">
        <v>553</v>
      </c>
      <c r="F32" s="144">
        <v>555</v>
      </c>
      <c r="G32" s="145">
        <v>0.4</v>
      </c>
      <c r="H32" s="143">
        <v>7.8</v>
      </c>
      <c r="I32" s="143">
        <v>8</v>
      </c>
      <c r="J32" s="143">
        <v>2.6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371.90000000000003</v>
      </c>
      <c r="C40" s="147">
        <v>322.90000000000003</v>
      </c>
      <c r="D40" s="147">
        <v>-13.2</v>
      </c>
      <c r="E40" s="148">
        <v>338.02043560096797</v>
      </c>
      <c r="F40" s="148">
        <v>473.43976463301328</v>
      </c>
      <c r="G40" s="147">
        <v>40.1</v>
      </c>
      <c r="H40" s="147">
        <v>125.7</v>
      </c>
      <c r="I40" s="147">
        <v>152.9</v>
      </c>
      <c r="J40" s="147">
        <v>21.6</v>
      </c>
    </row>
    <row r="41" spans="1:10" ht="15" customHeight="1" x14ac:dyDescent="0.2">
      <c r="A41" s="146" t="s">
        <v>108</v>
      </c>
      <c r="B41" s="147">
        <v>20.3</v>
      </c>
      <c r="C41" s="147">
        <v>20.7</v>
      </c>
      <c r="D41" s="147">
        <v>2</v>
      </c>
      <c r="E41" s="148">
        <v>689.52216748768467</v>
      </c>
      <c r="F41" s="148">
        <v>707.45410628019317</v>
      </c>
      <c r="G41" s="147">
        <v>2.6</v>
      </c>
      <c r="H41" s="147">
        <v>14</v>
      </c>
      <c r="I41" s="147">
        <v>14.6</v>
      </c>
      <c r="J41" s="147">
        <v>4.3</v>
      </c>
    </row>
    <row r="42" spans="1:10" ht="15" customHeight="1" x14ac:dyDescent="0.2">
      <c r="A42" s="149" t="s">
        <v>58</v>
      </c>
      <c r="B42" s="150">
        <v>392.20000000000005</v>
      </c>
      <c r="C42" s="150">
        <v>343.6</v>
      </c>
      <c r="D42" s="150">
        <v>-12.4</v>
      </c>
      <c r="E42" s="151">
        <v>356.21392146863838</v>
      </c>
      <c r="F42" s="151">
        <v>487.5378346915017</v>
      </c>
      <c r="G42" s="150">
        <v>36.9</v>
      </c>
      <c r="H42" s="150">
        <v>139.69999999999999</v>
      </c>
      <c r="I42" s="150">
        <v>167.5</v>
      </c>
      <c r="J42" s="150">
        <v>19.899999999999999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265"/>
      <c r="G43" s="191"/>
      <c r="H43" s="191"/>
      <c r="I43" s="191"/>
      <c r="J43" s="191"/>
    </row>
    <row r="44" spans="1:10" ht="15" customHeight="1" x14ac:dyDescent="0.2">
      <c r="A44" s="192" t="s">
        <v>212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9" ht="6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6" width="11.42578125" style="1" customWidth="1"/>
  </cols>
  <sheetData>
    <row r="1" spans="1:10" ht="38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3"/>
      <c r="B2" s="433"/>
      <c r="C2" s="433"/>
      <c r="D2" s="433"/>
      <c r="E2" s="433"/>
      <c r="F2" s="433"/>
      <c r="G2" s="433"/>
      <c r="H2" s="433"/>
      <c r="I2" s="433"/>
      <c r="J2" s="433"/>
    </row>
    <row r="3" spans="1:10" ht="15.75" customHeight="1" x14ac:dyDescent="0.2">
      <c r="A3" s="433"/>
      <c r="B3" s="433"/>
      <c r="C3" s="433"/>
      <c r="D3" s="433"/>
      <c r="E3" s="433"/>
      <c r="F3" s="433"/>
      <c r="G3" s="433"/>
      <c r="H3" s="433"/>
      <c r="I3" s="433"/>
      <c r="J3" s="433"/>
    </row>
    <row r="4" spans="1:10" ht="15.75" customHeight="1" x14ac:dyDescent="0.2">
      <c r="A4" s="433"/>
      <c r="B4" s="433"/>
      <c r="C4" s="433"/>
      <c r="D4" s="433"/>
      <c r="E4" s="433"/>
      <c r="F4" s="433"/>
      <c r="G4" s="433"/>
      <c r="H4" s="433"/>
      <c r="I4" s="433"/>
      <c r="J4" s="433"/>
    </row>
    <row r="5" spans="1:10" ht="24.7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5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12.6</v>
      </c>
      <c r="C8" s="140">
        <v>12.2</v>
      </c>
      <c r="D8" s="140">
        <v>-3.2</v>
      </c>
      <c r="E8" s="141">
        <v>792.19841269841277</v>
      </c>
      <c r="F8" s="141">
        <v>898.91803278688519</v>
      </c>
      <c r="G8" s="140">
        <v>13.5</v>
      </c>
      <c r="H8" s="140">
        <v>10</v>
      </c>
      <c r="I8" s="140">
        <v>11</v>
      </c>
      <c r="J8" s="140">
        <v>10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customHeight="1" x14ac:dyDescent="0.2">
      <c r="A12" s="142" t="s">
        <v>79</v>
      </c>
      <c r="B12" s="145">
        <v>2.2000000000000002</v>
      </c>
      <c r="C12" s="145">
        <v>1.9</v>
      </c>
      <c r="D12" s="143">
        <v>0</v>
      </c>
      <c r="E12" s="186">
        <v>731</v>
      </c>
      <c r="F12" s="186">
        <v>853</v>
      </c>
      <c r="G12" s="145">
        <v>16.7</v>
      </c>
      <c r="H12" s="145">
        <v>1.6</v>
      </c>
      <c r="I12" s="145">
        <v>1.6</v>
      </c>
      <c r="J12" s="145">
        <v>0</v>
      </c>
    </row>
    <row r="13" spans="1:10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10" ht="15.75" customHeight="1" x14ac:dyDescent="0.2">
      <c r="A14" s="142" t="s">
        <v>81</v>
      </c>
      <c r="B14" s="145">
        <v>2.9</v>
      </c>
      <c r="C14" s="145">
        <v>2.9</v>
      </c>
      <c r="D14" s="143">
        <v>0</v>
      </c>
      <c r="E14" s="186">
        <v>640</v>
      </c>
      <c r="F14" s="186">
        <v>643</v>
      </c>
      <c r="G14" s="145">
        <v>0.5</v>
      </c>
      <c r="H14" s="145">
        <v>1.9</v>
      </c>
      <c r="I14" s="145">
        <v>1.9</v>
      </c>
      <c r="J14" s="145">
        <v>0</v>
      </c>
    </row>
    <row r="15" spans="1:10" ht="15.75" customHeight="1" x14ac:dyDescent="0.2">
      <c r="A15" s="142" t="s">
        <v>82</v>
      </c>
      <c r="B15" s="145">
        <v>7.5</v>
      </c>
      <c r="C15" s="145">
        <v>7.4</v>
      </c>
      <c r="D15" s="143">
        <v>-1.3</v>
      </c>
      <c r="E15" s="186">
        <v>869</v>
      </c>
      <c r="F15" s="186">
        <v>1011</v>
      </c>
      <c r="G15" s="145">
        <v>16.3</v>
      </c>
      <c r="H15" s="145">
        <v>6.5</v>
      </c>
      <c r="I15" s="145">
        <v>7.5</v>
      </c>
      <c r="J15" s="145">
        <v>15.4</v>
      </c>
    </row>
    <row r="16" spans="1:10" ht="15.75" customHeight="1" x14ac:dyDescent="0.2">
      <c r="A16" s="146" t="s">
        <v>83</v>
      </c>
      <c r="B16" s="147">
        <v>430.5</v>
      </c>
      <c r="C16" s="147">
        <v>385.8</v>
      </c>
      <c r="D16" s="147">
        <v>-10.4</v>
      </c>
      <c r="E16" s="148">
        <v>316.7632984901278</v>
      </c>
      <c r="F16" s="148">
        <v>562.98341109383102</v>
      </c>
      <c r="G16" s="147">
        <v>77.7</v>
      </c>
      <c r="H16" s="147">
        <v>136.4</v>
      </c>
      <c r="I16" s="147">
        <v>217.2</v>
      </c>
      <c r="J16" s="147">
        <v>59.2</v>
      </c>
    </row>
    <row r="17" spans="1:10" ht="15.75" customHeight="1" x14ac:dyDescent="0.2">
      <c r="A17" s="142" t="s">
        <v>84</v>
      </c>
      <c r="B17" s="145">
        <v>16.3</v>
      </c>
      <c r="C17" s="145">
        <v>12.8</v>
      </c>
      <c r="D17" s="143">
        <v>-21.5</v>
      </c>
      <c r="E17" s="186">
        <v>595</v>
      </c>
      <c r="F17" s="186">
        <v>468</v>
      </c>
      <c r="G17" s="145">
        <v>-21.3</v>
      </c>
      <c r="H17" s="145">
        <v>9.6999999999999993</v>
      </c>
      <c r="I17" s="145">
        <v>6</v>
      </c>
      <c r="J17" s="145">
        <v>-38.1</v>
      </c>
    </row>
    <row r="18" spans="1:10" ht="15.75" customHeight="1" x14ac:dyDescent="0.2">
      <c r="A18" s="142" t="s">
        <v>85</v>
      </c>
      <c r="B18" s="145">
        <v>193.3</v>
      </c>
      <c r="C18" s="145">
        <v>182.1</v>
      </c>
      <c r="D18" s="143">
        <v>-5.8</v>
      </c>
      <c r="E18" s="186">
        <v>212.00000000000003</v>
      </c>
      <c r="F18" s="186">
        <v>334</v>
      </c>
      <c r="G18" s="145">
        <v>57.5</v>
      </c>
      <c r="H18" s="145">
        <v>41</v>
      </c>
      <c r="I18" s="145">
        <v>60.8</v>
      </c>
      <c r="J18" s="145">
        <v>48.3</v>
      </c>
    </row>
    <row r="19" spans="1:10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>
        <v>0</v>
      </c>
      <c r="F19" s="186">
        <v>0</v>
      </c>
      <c r="G19" s="145">
        <v>0</v>
      </c>
      <c r="H19" s="145">
        <v>0</v>
      </c>
      <c r="I19" s="145">
        <v>0</v>
      </c>
      <c r="J19" s="145">
        <v>0</v>
      </c>
    </row>
    <row r="20" spans="1:10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10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10" ht="15.75" customHeight="1" x14ac:dyDescent="0.2">
      <c r="A22" s="142" t="s">
        <v>89</v>
      </c>
      <c r="B22" s="145">
        <v>5</v>
      </c>
      <c r="C22" s="145">
        <v>5</v>
      </c>
      <c r="D22" s="143">
        <v>0</v>
      </c>
      <c r="E22" s="186">
        <v>540</v>
      </c>
      <c r="F22" s="186">
        <v>520</v>
      </c>
      <c r="G22" s="145">
        <v>-3.7</v>
      </c>
      <c r="H22" s="145">
        <v>2.7</v>
      </c>
      <c r="I22" s="145">
        <v>2.6</v>
      </c>
      <c r="J22" s="145">
        <v>-3.7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215.89999999999998</v>
      </c>
      <c r="C25" s="145">
        <v>185.9</v>
      </c>
      <c r="D25" s="143">
        <v>-13.9</v>
      </c>
      <c r="E25" s="186">
        <v>384.38397406206582</v>
      </c>
      <c r="F25" s="186">
        <v>794.98224852071007</v>
      </c>
      <c r="G25" s="145">
        <v>106.8</v>
      </c>
      <c r="H25" s="145">
        <v>83</v>
      </c>
      <c r="I25" s="145">
        <v>147.80000000000001</v>
      </c>
      <c r="J25" s="145">
        <v>78.099999999999994</v>
      </c>
    </row>
    <row r="26" spans="1:10" ht="15.75" customHeight="1" x14ac:dyDescent="0.2">
      <c r="A26" s="146" t="s">
        <v>93</v>
      </c>
      <c r="B26" s="147">
        <v>64.400000000000006</v>
      </c>
      <c r="C26" s="147">
        <v>59.2</v>
      </c>
      <c r="D26" s="147">
        <v>-8.1</v>
      </c>
      <c r="E26" s="148">
        <v>2245.9440993788817</v>
      </c>
      <c r="F26" s="148">
        <v>2253.9831081081079</v>
      </c>
      <c r="G26" s="147">
        <v>0.4</v>
      </c>
      <c r="H26" s="147">
        <v>144.6</v>
      </c>
      <c r="I26" s="147">
        <v>133.39999999999998</v>
      </c>
      <c r="J26" s="147">
        <v>-7.7</v>
      </c>
    </row>
    <row r="27" spans="1:10" ht="15.75" customHeight="1" x14ac:dyDescent="0.2">
      <c r="A27" s="142" t="s">
        <v>94</v>
      </c>
      <c r="B27" s="145">
        <v>10.4</v>
      </c>
      <c r="C27" s="145">
        <v>10.199999999999999</v>
      </c>
      <c r="D27" s="143">
        <v>-1.9</v>
      </c>
      <c r="E27" s="186">
        <v>1625.5576923076926</v>
      </c>
      <c r="F27" s="186">
        <v>1645.9607843137255</v>
      </c>
      <c r="G27" s="145">
        <v>1.3</v>
      </c>
      <c r="H27" s="145">
        <v>16.899999999999999</v>
      </c>
      <c r="I27" s="145">
        <v>16.8</v>
      </c>
      <c r="J27" s="145">
        <v>-0.6</v>
      </c>
    </row>
    <row r="28" spans="1:10" ht="15.75" hidden="1" customHeight="1" x14ac:dyDescent="0.2">
      <c r="A28" s="142" t="s">
        <v>95</v>
      </c>
      <c r="B28" s="145">
        <v>0</v>
      </c>
      <c r="C28" s="145">
        <v>0</v>
      </c>
      <c r="D28" s="143">
        <v>0</v>
      </c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10" ht="15.75" customHeight="1" x14ac:dyDescent="0.2">
      <c r="A29" s="142" t="s">
        <v>96</v>
      </c>
      <c r="B29" s="145">
        <v>43</v>
      </c>
      <c r="C29" s="145">
        <v>38</v>
      </c>
      <c r="D29" s="143">
        <v>-11.6</v>
      </c>
      <c r="E29" s="186">
        <v>2340</v>
      </c>
      <c r="F29" s="186">
        <v>2359</v>
      </c>
      <c r="G29" s="145">
        <v>0.8</v>
      </c>
      <c r="H29" s="145">
        <v>100.6</v>
      </c>
      <c r="I29" s="145">
        <v>89.6</v>
      </c>
      <c r="J29" s="145">
        <v>-10.9</v>
      </c>
    </row>
    <row r="30" spans="1:10" ht="15.75" customHeight="1" x14ac:dyDescent="0.2">
      <c r="A30" s="142" t="s">
        <v>97</v>
      </c>
      <c r="B30" s="145">
        <v>11</v>
      </c>
      <c r="C30" s="145">
        <v>11</v>
      </c>
      <c r="D30" s="143">
        <v>0</v>
      </c>
      <c r="E30" s="186">
        <v>2464.818181818182</v>
      </c>
      <c r="F30" s="186">
        <v>2455</v>
      </c>
      <c r="G30" s="145">
        <v>-0.4</v>
      </c>
      <c r="H30" s="145">
        <v>27.1</v>
      </c>
      <c r="I30" s="145">
        <v>27</v>
      </c>
      <c r="J30" s="145">
        <v>-0.4</v>
      </c>
    </row>
    <row r="31" spans="1:10" ht="15.75" customHeight="1" x14ac:dyDescent="0.2">
      <c r="A31" s="146" t="s">
        <v>98</v>
      </c>
      <c r="B31" s="147">
        <v>178.3</v>
      </c>
      <c r="C31" s="147">
        <v>181.3</v>
      </c>
      <c r="D31" s="147">
        <v>1.7</v>
      </c>
      <c r="E31" s="148">
        <v>1795.8597868760514</v>
      </c>
      <c r="F31" s="148">
        <v>1817.3690016547159</v>
      </c>
      <c r="G31" s="147">
        <v>1.2</v>
      </c>
      <c r="H31" s="147">
        <v>320.3</v>
      </c>
      <c r="I31" s="147">
        <v>329.5</v>
      </c>
      <c r="J31" s="147">
        <v>2.9</v>
      </c>
    </row>
    <row r="32" spans="1:10" ht="15.75" customHeight="1" x14ac:dyDescent="0.2">
      <c r="A32" s="142" t="s">
        <v>99</v>
      </c>
      <c r="B32" s="145">
        <v>128.4</v>
      </c>
      <c r="C32" s="145">
        <v>131.4</v>
      </c>
      <c r="D32" s="143">
        <v>2.2999999999999998</v>
      </c>
      <c r="E32" s="186">
        <v>1597.8925233644859</v>
      </c>
      <c r="F32" s="186">
        <v>1605.6468797564687</v>
      </c>
      <c r="G32" s="145">
        <v>0.5</v>
      </c>
      <c r="H32" s="145">
        <v>205.2</v>
      </c>
      <c r="I32" s="145">
        <v>211</v>
      </c>
      <c r="J32" s="145">
        <v>2.8</v>
      </c>
    </row>
    <row r="33" spans="1:10" ht="15.75" customHeight="1" x14ac:dyDescent="0.2">
      <c r="A33" s="142" t="s">
        <v>100</v>
      </c>
      <c r="B33" s="145">
        <v>4.5999999999999996</v>
      </c>
      <c r="C33" s="145">
        <v>4.5999999999999996</v>
      </c>
      <c r="D33" s="143">
        <v>0</v>
      </c>
      <c r="E33" s="186">
        <v>1189</v>
      </c>
      <c r="F33" s="186">
        <v>1240</v>
      </c>
      <c r="G33" s="145">
        <v>4.3</v>
      </c>
      <c r="H33" s="145">
        <v>5.5</v>
      </c>
      <c r="I33" s="145">
        <v>5.7</v>
      </c>
      <c r="J33" s="145">
        <v>3.6</v>
      </c>
    </row>
    <row r="34" spans="1:10" ht="15.75" customHeight="1" x14ac:dyDescent="0.2">
      <c r="A34" s="142" t="s">
        <v>101</v>
      </c>
      <c r="B34" s="145">
        <v>0.3</v>
      </c>
      <c r="C34" s="145">
        <v>0.3</v>
      </c>
      <c r="D34" s="143">
        <v>0</v>
      </c>
      <c r="E34" s="186">
        <v>1010</v>
      </c>
      <c r="F34" s="186">
        <v>1010</v>
      </c>
      <c r="G34" s="145">
        <v>0</v>
      </c>
      <c r="H34" s="145">
        <v>0.3</v>
      </c>
      <c r="I34" s="145">
        <v>0.3</v>
      </c>
      <c r="J34" s="145">
        <v>0</v>
      </c>
    </row>
    <row r="35" spans="1:10" ht="15.75" customHeight="1" x14ac:dyDescent="0.2">
      <c r="A35" s="142" t="s">
        <v>102</v>
      </c>
      <c r="B35" s="145">
        <v>45</v>
      </c>
      <c r="C35" s="145">
        <v>45</v>
      </c>
      <c r="D35" s="143">
        <v>0</v>
      </c>
      <c r="E35" s="186">
        <v>2428</v>
      </c>
      <c r="F35" s="186">
        <v>2500</v>
      </c>
      <c r="G35" s="145">
        <v>3</v>
      </c>
      <c r="H35" s="145">
        <v>109.3</v>
      </c>
      <c r="I35" s="145">
        <v>112.5</v>
      </c>
      <c r="J35" s="145">
        <v>2.9</v>
      </c>
    </row>
    <row r="36" spans="1:10" ht="15.75" customHeight="1" x14ac:dyDescent="0.2">
      <c r="A36" s="146" t="s">
        <v>103</v>
      </c>
      <c r="B36" s="147">
        <v>222.70000000000002</v>
      </c>
      <c r="C36" s="147">
        <v>154.5</v>
      </c>
      <c r="D36" s="147">
        <v>-30.6</v>
      </c>
      <c r="E36" s="148">
        <v>2026.8729232150877</v>
      </c>
      <c r="F36" s="148">
        <v>1830.6472491909385</v>
      </c>
      <c r="G36" s="147">
        <v>-9.6999999999999993</v>
      </c>
      <c r="H36" s="147">
        <v>451.40000000000003</v>
      </c>
      <c r="I36" s="147">
        <v>282.8</v>
      </c>
      <c r="J36" s="147">
        <v>-37.4</v>
      </c>
    </row>
    <row r="37" spans="1:10" ht="15.75" customHeight="1" x14ac:dyDescent="0.2">
      <c r="A37" s="142" t="s">
        <v>104</v>
      </c>
      <c r="B37" s="145">
        <v>163.30000000000001</v>
      </c>
      <c r="C37" s="145">
        <v>104</v>
      </c>
      <c r="D37" s="143">
        <v>-36.299999999999997</v>
      </c>
      <c r="E37" s="186">
        <v>2043</v>
      </c>
      <c r="F37" s="186">
        <v>1841.2365384615384</v>
      </c>
      <c r="G37" s="145">
        <v>-9.9</v>
      </c>
      <c r="H37" s="145">
        <v>333.6</v>
      </c>
      <c r="I37" s="145">
        <v>191.5</v>
      </c>
      <c r="J37" s="145">
        <v>-42.6</v>
      </c>
    </row>
    <row r="38" spans="1:10" ht="15.75" customHeight="1" x14ac:dyDescent="0.2">
      <c r="A38" s="142" t="s">
        <v>105</v>
      </c>
      <c r="B38" s="145">
        <v>32.299999999999997</v>
      </c>
      <c r="C38" s="145">
        <v>27</v>
      </c>
      <c r="D38" s="143">
        <v>-16.399999999999999</v>
      </c>
      <c r="E38" s="186">
        <v>2074.3653250773996</v>
      </c>
      <c r="F38" s="186">
        <v>2000</v>
      </c>
      <c r="G38" s="145">
        <v>-3.6</v>
      </c>
      <c r="H38" s="145">
        <v>67</v>
      </c>
      <c r="I38" s="145">
        <v>54</v>
      </c>
      <c r="J38" s="145">
        <v>-19.399999999999999</v>
      </c>
    </row>
    <row r="39" spans="1:10" ht="15.75" customHeight="1" x14ac:dyDescent="0.2">
      <c r="A39" s="142" t="s">
        <v>106</v>
      </c>
      <c r="B39" s="145">
        <v>27.099999999999998</v>
      </c>
      <c r="C39" s="145">
        <v>23.5</v>
      </c>
      <c r="D39" s="143">
        <v>-13.3</v>
      </c>
      <c r="E39" s="186">
        <v>1873.0885608856088</v>
      </c>
      <c r="F39" s="186">
        <v>1589.2085106382976</v>
      </c>
      <c r="G39" s="145">
        <v>-15.2</v>
      </c>
      <c r="H39" s="145">
        <v>50.8</v>
      </c>
      <c r="I39" s="145">
        <v>37.299999999999997</v>
      </c>
      <c r="J39" s="145">
        <v>-26.6</v>
      </c>
    </row>
    <row r="40" spans="1:10" ht="15.75" customHeight="1" x14ac:dyDescent="0.2">
      <c r="A40" s="146" t="s">
        <v>107</v>
      </c>
      <c r="B40" s="147">
        <v>443.1</v>
      </c>
      <c r="C40" s="147">
        <v>398</v>
      </c>
      <c r="D40" s="147">
        <v>-10.199999999999999</v>
      </c>
      <c r="E40" s="148">
        <v>330.28278041074253</v>
      </c>
      <c r="F40" s="148">
        <v>573.28090452261301</v>
      </c>
      <c r="G40" s="147">
        <v>73.599999999999994</v>
      </c>
      <c r="H40" s="147">
        <v>146.4</v>
      </c>
      <c r="I40" s="147">
        <v>228.2</v>
      </c>
      <c r="J40" s="147">
        <v>55.9</v>
      </c>
    </row>
    <row r="41" spans="1:10" ht="15.75" customHeight="1" x14ac:dyDescent="0.2">
      <c r="A41" s="146" t="s">
        <v>108</v>
      </c>
      <c r="B41" s="147">
        <v>465.40000000000003</v>
      </c>
      <c r="C41" s="147">
        <v>395</v>
      </c>
      <c r="D41" s="147">
        <v>-15.1</v>
      </c>
      <c r="E41" s="148">
        <v>1968.6832831972495</v>
      </c>
      <c r="F41" s="148">
        <v>1887.9994936708863</v>
      </c>
      <c r="G41" s="147">
        <v>-4.0999999999999996</v>
      </c>
      <c r="H41" s="147">
        <v>916.3</v>
      </c>
      <c r="I41" s="147">
        <v>745.7</v>
      </c>
      <c r="J41" s="147">
        <v>-18.600000000000001</v>
      </c>
    </row>
    <row r="42" spans="1:10" ht="15.75" customHeight="1" x14ac:dyDescent="0.2">
      <c r="A42" s="272" t="s">
        <v>58</v>
      </c>
      <c r="B42" s="273">
        <v>908.5</v>
      </c>
      <c r="C42" s="273">
        <v>793</v>
      </c>
      <c r="D42" s="273">
        <v>-12.7</v>
      </c>
      <c r="E42" s="274">
        <v>1169.5910842047331</v>
      </c>
      <c r="F42" s="274">
        <v>1228.153341740227</v>
      </c>
      <c r="G42" s="273">
        <v>5</v>
      </c>
      <c r="H42" s="273">
        <v>1062.7</v>
      </c>
      <c r="I42" s="273">
        <v>973.90000000000009</v>
      </c>
      <c r="J42" s="273">
        <v>-8.4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212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240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10.42578125" style="241" customWidth="1"/>
    <col min="8" max="8" width="11.42578125" style="241" customWidth="1"/>
    <col min="9" max="9" width="12.42578125" style="241" customWidth="1"/>
    <col min="10" max="10" width="9.42578125" style="241" customWidth="1"/>
    <col min="11" max="16" width="11.42578125" style="241" customWidth="1"/>
  </cols>
  <sheetData>
    <row r="1" spans="1:20" ht="38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19.5" customHeight="1" x14ac:dyDescent="0.2">
      <c r="A5" s="481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20" ht="19.5" customHeight="1" x14ac:dyDescent="0.2">
      <c r="A6" s="477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20" ht="19.5" customHeight="1" x14ac:dyDescent="0.2">
      <c r="A7" s="482"/>
      <c r="B7" s="245" t="s">
        <v>66</v>
      </c>
      <c r="C7" s="247" t="s">
        <v>67</v>
      </c>
      <c r="D7" s="248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20" ht="15" customHeight="1" x14ac:dyDescent="0.2">
      <c r="A8" s="139" t="s">
        <v>75</v>
      </c>
      <c r="B8" s="140">
        <v>3.1</v>
      </c>
      <c r="C8" s="140">
        <v>1.8</v>
      </c>
      <c r="D8" s="140">
        <v>-41.9</v>
      </c>
      <c r="E8" s="141">
        <v>1006.4193548387096</v>
      </c>
      <c r="F8" s="141">
        <v>1009.3333333333333</v>
      </c>
      <c r="G8" s="140">
        <v>0.3</v>
      </c>
      <c r="H8" s="140">
        <v>3.1</v>
      </c>
      <c r="I8" s="140">
        <v>1.8</v>
      </c>
      <c r="J8" s="140">
        <v>-41.9</v>
      </c>
    </row>
    <row r="9" spans="1:20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20" ht="15.75" customHeight="1" x14ac:dyDescent="0.2">
      <c r="A10" s="86" t="s">
        <v>124</v>
      </c>
      <c r="B10" s="87">
        <v>2</v>
      </c>
      <c r="C10" s="87">
        <v>1.1000000000000001</v>
      </c>
      <c r="D10" s="87">
        <v>-45</v>
      </c>
      <c r="E10" s="88">
        <v>1060</v>
      </c>
      <c r="F10" s="88">
        <v>1042</v>
      </c>
      <c r="G10" s="87">
        <v>-1.7</v>
      </c>
      <c r="H10" s="87">
        <v>2.1</v>
      </c>
      <c r="I10" s="87">
        <v>1.1000000000000001</v>
      </c>
      <c r="J10" s="87">
        <v>-47.6</v>
      </c>
      <c r="K10" s="126"/>
      <c r="L10" s="126"/>
      <c r="M10" s="126"/>
      <c r="N10" s="126"/>
      <c r="O10" s="126"/>
      <c r="P10" s="126"/>
      <c r="Q10" s="126"/>
      <c r="R10" s="126"/>
      <c r="S10" s="126"/>
      <c r="T10" s="126"/>
    </row>
    <row r="11" spans="1:20" ht="15" hidden="1" customHeight="1" x14ac:dyDescent="0.2">
      <c r="A11" s="142" t="s">
        <v>78</v>
      </c>
      <c r="B11" s="145">
        <v>0</v>
      </c>
      <c r="C11" s="145">
        <v>0</v>
      </c>
      <c r="D11" s="143">
        <v>0</v>
      </c>
      <c r="E11" s="186">
        <v>0</v>
      </c>
      <c r="F11" s="186">
        <v>0</v>
      </c>
      <c r="G11" s="145">
        <v>0</v>
      </c>
      <c r="H11" s="145">
        <v>0</v>
      </c>
      <c r="I11" s="145">
        <v>0</v>
      </c>
      <c r="J11" s="145">
        <v>0</v>
      </c>
    </row>
    <row r="12" spans="1:20" ht="1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20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958</v>
      </c>
      <c r="G13" s="145">
        <v>5.4</v>
      </c>
      <c r="H13" s="143">
        <v>1</v>
      </c>
      <c r="I13" s="143">
        <v>0.7</v>
      </c>
      <c r="J13" s="143">
        <v>-30</v>
      </c>
      <c r="K13" s="126"/>
      <c r="L13" s="126"/>
      <c r="M13" s="126"/>
      <c r="N13" s="126"/>
      <c r="O13" s="126"/>
      <c r="P13" s="126"/>
      <c r="Q13" s="126"/>
      <c r="R13" s="126"/>
      <c r="S13" s="126"/>
      <c r="T13" s="126"/>
    </row>
    <row r="14" spans="1:20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20" ht="1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20" ht="15" customHeight="1" x14ac:dyDescent="0.2">
      <c r="A16" s="146" t="s">
        <v>83</v>
      </c>
      <c r="B16" s="147">
        <v>59.199999999999996</v>
      </c>
      <c r="C16" s="147">
        <v>51.4</v>
      </c>
      <c r="D16" s="147">
        <v>-13.2</v>
      </c>
      <c r="E16" s="148">
        <v>1506.0658783783786</v>
      </c>
      <c r="F16" s="148">
        <v>1807.2723735408561</v>
      </c>
      <c r="G16" s="147">
        <v>20</v>
      </c>
      <c r="H16" s="147">
        <v>89.2</v>
      </c>
      <c r="I16" s="147">
        <v>92.9</v>
      </c>
      <c r="J16" s="147">
        <v>4.0999999999999996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.75" customHeight="1" x14ac:dyDescent="0.2">
      <c r="A19" s="86" t="s">
        <v>86</v>
      </c>
      <c r="B19" s="87">
        <v>6.1</v>
      </c>
      <c r="C19" s="87">
        <v>5.8</v>
      </c>
      <c r="D19" s="87">
        <v>-4.9000000000000004</v>
      </c>
      <c r="E19" s="88">
        <v>339</v>
      </c>
      <c r="F19" s="88">
        <v>484</v>
      </c>
      <c r="G19" s="87">
        <v>42.8</v>
      </c>
      <c r="H19" s="87">
        <v>2.1</v>
      </c>
      <c r="I19" s="87">
        <v>2.8</v>
      </c>
      <c r="J19" s="87">
        <v>33.299999999999997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</row>
    <row r="20" spans="1:20" ht="1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20" ht="15.75" customHeight="1" x14ac:dyDescent="0.2">
      <c r="A21" s="86" t="s">
        <v>88</v>
      </c>
      <c r="B21" s="87">
        <v>26.3</v>
      </c>
      <c r="C21" s="87">
        <v>19.399999999999999</v>
      </c>
      <c r="D21" s="87">
        <v>-26.2</v>
      </c>
      <c r="E21" s="88">
        <v>296</v>
      </c>
      <c r="F21" s="88">
        <v>355</v>
      </c>
      <c r="G21" s="87">
        <v>19.899999999999999</v>
      </c>
      <c r="H21" s="87">
        <v>7.8</v>
      </c>
      <c r="I21" s="87">
        <v>6.9</v>
      </c>
      <c r="J21" s="87">
        <v>-11.5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</row>
    <row r="22" spans="1:20" ht="15.75" customHeight="1" x14ac:dyDescent="0.2">
      <c r="A22" s="86" t="s">
        <v>89</v>
      </c>
      <c r="B22" s="87">
        <v>1.8</v>
      </c>
      <c r="C22" s="87">
        <v>1.2</v>
      </c>
      <c r="D22" s="87">
        <v>-33.299999999999997</v>
      </c>
      <c r="E22" s="88">
        <v>448</v>
      </c>
      <c r="F22" s="88">
        <v>583</v>
      </c>
      <c r="G22" s="87">
        <v>30.1</v>
      </c>
      <c r="H22" s="87">
        <v>0.8</v>
      </c>
      <c r="I22" s="87">
        <v>0.7</v>
      </c>
      <c r="J22" s="87">
        <v>-12.5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275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20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275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25</v>
      </c>
      <c r="C25" s="87">
        <v>25</v>
      </c>
      <c r="D25" s="87">
        <v>0</v>
      </c>
      <c r="E25" s="88">
        <v>3140</v>
      </c>
      <c r="F25" s="88">
        <v>3300</v>
      </c>
      <c r="G25" s="87">
        <v>5.0999999999999996</v>
      </c>
      <c r="H25" s="87">
        <v>78.5</v>
      </c>
      <c r="I25" s="87">
        <v>82.5</v>
      </c>
      <c r="J25" s="87">
        <v>5.0999999999999996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" customHeight="1" x14ac:dyDescent="0.2">
      <c r="A26" s="146" t="s">
        <v>93</v>
      </c>
      <c r="B26" s="147">
        <v>22.599999999999998</v>
      </c>
      <c r="C26" s="147">
        <v>22.9</v>
      </c>
      <c r="D26" s="147">
        <v>1.3</v>
      </c>
      <c r="E26" s="148">
        <v>1562.6283185840707</v>
      </c>
      <c r="F26" s="148">
        <v>1536.5283842794761</v>
      </c>
      <c r="G26" s="147">
        <v>-1.7</v>
      </c>
      <c r="H26" s="147">
        <v>35.299999999999997</v>
      </c>
      <c r="I26" s="147">
        <v>35.200000000000003</v>
      </c>
      <c r="J26" s="147">
        <v>-0.3</v>
      </c>
    </row>
    <row r="27" spans="1:20" ht="15.75" customHeight="1" x14ac:dyDescent="0.2">
      <c r="A27" s="86" t="s">
        <v>94</v>
      </c>
      <c r="B27" s="87">
        <v>16.899999999999999</v>
      </c>
      <c r="C27" s="87">
        <v>15.6</v>
      </c>
      <c r="D27" s="87">
        <v>-7.7</v>
      </c>
      <c r="E27" s="88">
        <v>1491</v>
      </c>
      <c r="F27" s="88">
        <v>1497</v>
      </c>
      <c r="G27" s="87">
        <v>0.4</v>
      </c>
      <c r="H27" s="87">
        <v>25.2</v>
      </c>
      <c r="I27" s="87">
        <v>23.4</v>
      </c>
      <c r="J27" s="87">
        <v>-7.1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 ht="15.75" customHeight="1" x14ac:dyDescent="0.2">
      <c r="A28" s="86" t="s">
        <v>95</v>
      </c>
      <c r="B28" s="87">
        <v>5.7</v>
      </c>
      <c r="C28" s="87">
        <v>7.3</v>
      </c>
      <c r="D28" s="87">
        <v>28.1</v>
      </c>
      <c r="E28" s="88">
        <v>1775</v>
      </c>
      <c r="F28" s="88">
        <v>1621</v>
      </c>
      <c r="G28" s="87">
        <v>-8.6999999999999993</v>
      </c>
      <c r="H28" s="87">
        <v>10.1</v>
      </c>
      <c r="I28" s="87">
        <v>11.8</v>
      </c>
      <c r="J28" s="87">
        <v>16.8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</row>
    <row r="29" spans="1:2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26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" customHeight="1" x14ac:dyDescent="0.2">
      <c r="A31" s="146" t="s">
        <v>98</v>
      </c>
      <c r="B31" s="147">
        <v>115.9</v>
      </c>
      <c r="C31" s="147">
        <v>126.19999999999999</v>
      </c>
      <c r="D31" s="147">
        <v>8.9</v>
      </c>
      <c r="E31" s="148">
        <v>1506.2855910267472</v>
      </c>
      <c r="F31" s="148">
        <v>1621.2282091917593</v>
      </c>
      <c r="G31" s="147">
        <v>7.6</v>
      </c>
      <c r="H31" s="147">
        <v>174.5</v>
      </c>
      <c r="I31" s="147">
        <v>204.7</v>
      </c>
      <c r="J31" s="147">
        <v>17.3</v>
      </c>
    </row>
    <row r="32" spans="1:20" ht="15.75" customHeight="1" x14ac:dyDescent="0.2">
      <c r="A32" s="86" t="s">
        <v>99</v>
      </c>
      <c r="B32" s="87">
        <v>94.7</v>
      </c>
      <c r="C32" s="87">
        <v>105.1</v>
      </c>
      <c r="D32" s="87">
        <v>11</v>
      </c>
      <c r="E32" s="88">
        <v>1505</v>
      </c>
      <c r="F32" s="88">
        <v>1618</v>
      </c>
      <c r="G32" s="87">
        <v>7.5</v>
      </c>
      <c r="H32" s="87">
        <v>142.5</v>
      </c>
      <c r="I32" s="87">
        <v>170.1</v>
      </c>
      <c r="J32" s="87">
        <v>19.399999999999999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.75" customHeight="1" x14ac:dyDescent="0.2">
      <c r="A33" s="86" t="s">
        <v>100</v>
      </c>
      <c r="B33" s="87">
        <v>3.9</v>
      </c>
      <c r="C33" s="87">
        <v>3.8</v>
      </c>
      <c r="D33" s="87">
        <v>-2.6</v>
      </c>
      <c r="E33" s="88">
        <v>900</v>
      </c>
      <c r="F33" s="88">
        <v>1015</v>
      </c>
      <c r="G33" s="87">
        <v>12.8</v>
      </c>
      <c r="H33" s="87">
        <v>3.5</v>
      </c>
      <c r="I33" s="87">
        <v>3.9</v>
      </c>
      <c r="J33" s="87">
        <v>11.4</v>
      </c>
      <c r="K33" s="126"/>
      <c r="L33" s="126"/>
      <c r="M33" s="126"/>
      <c r="N33" s="126"/>
      <c r="O33" s="126"/>
      <c r="P33" s="126"/>
      <c r="Q33" s="126"/>
      <c r="R33" s="126"/>
      <c r="S33" s="126"/>
      <c r="T33" s="126"/>
    </row>
    <row r="34" spans="1:20" ht="1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275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20" ht="15.75" customHeight="1" x14ac:dyDescent="0.2">
      <c r="A35" s="86" t="s">
        <v>102</v>
      </c>
      <c r="B35" s="87">
        <v>17.3</v>
      </c>
      <c r="C35" s="87">
        <v>17.3</v>
      </c>
      <c r="D35" s="87">
        <v>0</v>
      </c>
      <c r="E35" s="88">
        <v>1650</v>
      </c>
      <c r="F35" s="88">
        <v>1774</v>
      </c>
      <c r="G35" s="87">
        <v>7.5</v>
      </c>
      <c r="H35" s="87">
        <v>28.5</v>
      </c>
      <c r="I35" s="87">
        <v>30.7</v>
      </c>
      <c r="J35" s="87">
        <v>7.7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" customHeight="1" x14ac:dyDescent="0.2">
      <c r="A36" s="146" t="s">
        <v>103</v>
      </c>
      <c r="B36" s="147">
        <v>93.8</v>
      </c>
      <c r="C36" s="147">
        <v>84.9</v>
      </c>
      <c r="D36" s="147">
        <v>-9.5</v>
      </c>
      <c r="E36" s="148">
        <v>1487.1130063965884</v>
      </c>
      <c r="F36" s="148">
        <v>1439.3875147232036</v>
      </c>
      <c r="G36" s="147">
        <v>-3.2</v>
      </c>
      <c r="H36" s="147">
        <v>139.5</v>
      </c>
      <c r="I36" s="147">
        <v>122.30000000000001</v>
      </c>
      <c r="J36" s="147">
        <v>-12.3</v>
      </c>
    </row>
    <row r="37" spans="1:20" ht="15.75" customHeight="1" x14ac:dyDescent="0.2">
      <c r="A37" s="86" t="s">
        <v>104</v>
      </c>
      <c r="B37" s="87">
        <v>91.6</v>
      </c>
      <c r="C37" s="87">
        <v>83</v>
      </c>
      <c r="D37" s="87">
        <v>-9.4</v>
      </c>
      <c r="E37" s="88">
        <v>1482</v>
      </c>
      <c r="F37" s="88">
        <v>1438</v>
      </c>
      <c r="G37" s="87">
        <v>-3</v>
      </c>
      <c r="H37" s="87">
        <v>135.80000000000001</v>
      </c>
      <c r="I37" s="87">
        <v>119.4</v>
      </c>
      <c r="J37" s="87">
        <v>-12.1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customHeight="1" x14ac:dyDescent="0.2">
      <c r="A38" s="142" t="s">
        <v>105</v>
      </c>
      <c r="B38" s="143">
        <v>2.2000000000000002</v>
      </c>
      <c r="C38" s="143">
        <v>1.9</v>
      </c>
      <c r="D38" s="143">
        <v>-13.6</v>
      </c>
      <c r="E38" s="144">
        <v>1700</v>
      </c>
      <c r="F38" s="144">
        <v>1500</v>
      </c>
      <c r="G38" s="145">
        <v>-11.8</v>
      </c>
      <c r="H38" s="143">
        <v>3.7</v>
      </c>
      <c r="I38" s="143">
        <v>2.9</v>
      </c>
      <c r="J38" s="143">
        <v>-21.6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</row>
    <row r="39" spans="1:2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20" ht="15" customHeight="1" x14ac:dyDescent="0.2">
      <c r="A40" s="146" t="s">
        <v>107</v>
      </c>
      <c r="B40" s="147">
        <v>62.3</v>
      </c>
      <c r="C40" s="147">
        <v>53.199999999999996</v>
      </c>
      <c r="D40" s="147">
        <v>-14.6</v>
      </c>
      <c r="E40" s="148">
        <v>1481.203852327448</v>
      </c>
      <c r="F40" s="148">
        <v>1780.2744360902259</v>
      </c>
      <c r="G40" s="147">
        <v>20.2</v>
      </c>
      <c r="H40" s="147">
        <v>92.3</v>
      </c>
      <c r="I40" s="147">
        <v>94.7</v>
      </c>
      <c r="J40" s="147">
        <v>2.6</v>
      </c>
    </row>
    <row r="41" spans="1:20" ht="15" customHeight="1" x14ac:dyDescent="0.2">
      <c r="A41" s="146" t="s">
        <v>108</v>
      </c>
      <c r="B41" s="147">
        <v>232.3</v>
      </c>
      <c r="C41" s="147">
        <v>234</v>
      </c>
      <c r="D41" s="147">
        <v>0.7</v>
      </c>
      <c r="E41" s="148">
        <v>1504.025398191993</v>
      </c>
      <c r="F41" s="148">
        <v>1546.9636752136753</v>
      </c>
      <c r="G41" s="147">
        <v>2.9</v>
      </c>
      <c r="H41" s="147">
        <v>349.3</v>
      </c>
      <c r="I41" s="147">
        <v>362.2</v>
      </c>
      <c r="J41" s="147">
        <v>3.7</v>
      </c>
    </row>
    <row r="42" spans="1:20" ht="15" customHeight="1" x14ac:dyDescent="0.2">
      <c r="A42" s="149" t="s">
        <v>58</v>
      </c>
      <c r="B42" s="150">
        <v>294.60000000000002</v>
      </c>
      <c r="C42" s="150">
        <v>287.2</v>
      </c>
      <c r="D42" s="150">
        <v>-2.5</v>
      </c>
      <c r="E42" s="151">
        <v>1499.1992532247114</v>
      </c>
      <c r="F42" s="151">
        <v>1590.1814066852367</v>
      </c>
      <c r="G42" s="150">
        <v>6.1</v>
      </c>
      <c r="H42" s="150">
        <v>441.6</v>
      </c>
      <c r="I42" s="150">
        <v>456.9</v>
      </c>
      <c r="J42" s="150">
        <v>3.5</v>
      </c>
    </row>
    <row r="43" spans="1:2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" customHeight="1" x14ac:dyDescent="0.2">
      <c r="A44" s="192" t="s">
        <v>212</v>
      </c>
      <c r="B44" s="126"/>
      <c r="C44" s="276"/>
      <c r="D44" s="277"/>
      <c r="E44" s="126"/>
      <c r="F44" s="126"/>
      <c r="G44" s="126"/>
      <c r="H44" s="130"/>
      <c r="I44" s="126"/>
      <c r="J44" s="126"/>
    </row>
    <row r="45" spans="1:20" ht="12.75" customHeight="1" x14ac:dyDescent="0.2">
      <c r="D45" s="277"/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showGridLines="0" zoomScale="85" zoomScaleNormal="85" workbookViewId="0">
      <pane xSplit="1" ySplit="15" topLeftCell="B16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1.42578125" style="241" customWidth="1"/>
    <col min="2" max="3" width="11.42578125" style="241" customWidth="1"/>
    <col min="4" max="4" width="9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9.42578125" style="241" customWidth="1"/>
    <col min="11" max="16" width="11.42578125" style="241" customWidth="1"/>
  </cols>
  <sheetData>
    <row r="1" spans="1:10" ht="31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19.5" customHeight="1" x14ac:dyDescent="0.2">
      <c r="A5" s="481" t="s">
        <v>61</v>
      </c>
      <c r="B5" s="483" t="s">
        <v>62</v>
      </c>
      <c r="C5" s="483"/>
      <c r="D5" s="483"/>
      <c r="E5" s="481" t="s">
        <v>63</v>
      </c>
      <c r="F5" s="481"/>
      <c r="G5" s="481"/>
      <c r="H5" s="483" t="s">
        <v>64</v>
      </c>
      <c r="I5" s="483"/>
      <c r="J5" s="483"/>
    </row>
    <row r="6" spans="1:10" ht="19.5" customHeight="1" x14ac:dyDescent="0.2">
      <c r="A6" s="481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7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1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1.4</v>
      </c>
      <c r="C16" s="147">
        <v>1.2</v>
      </c>
      <c r="D16" s="147">
        <v>-14.3</v>
      </c>
      <c r="E16" s="148">
        <v>332</v>
      </c>
      <c r="F16" s="148">
        <v>419</v>
      </c>
      <c r="G16" s="147">
        <v>26.2</v>
      </c>
      <c r="H16" s="147">
        <v>0.5</v>
      </c>
      <c r="I16" s="147">
        <v>0.5</v>
      </c>
      <c r="J16" s="147">
        <v>0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customHeight="1" x14ac:dyDescent="0.2">
      <c r="A21" s="142" t="s">
        <v>88</v>
      </c>
      <c r="B21" s="143">
        <v>1.4</v>
      </c>
      <c r="C21" s="143">
        <v>1.2</v>
      </c>
      <c r="D21" s="143">
        <v>-14.3</v>
      </c>
      <c r="E21" s="144">
        <v>332</v>
      </c>
      <c r="F21" s="144">
        <v>419</v>
      </c>
      <c r="G21" s="145">
        <v>26.2</v>
      </c>
      <c r="H21" s="143">
        <v>0.5</v>
      </c>
      <c r="I21" s="143">
        <v>0.5</v>
      </c>
      <c r="J21" s="143">
        <v>0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</row>
    <row r="22" spans="1:20" ht="1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20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20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2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" customHeight="1" x14ac:dyDescent="0.2">
      <c r="A31" s="146" t="s">
        <v>98</v>
      </c>
      <c r="B31" s="147">
        <v>7.1000000000000005</v>
      </c>
      <c r="C31" s="147">
        <v>6.8000000000000007</v>
      </c>
      <c r="D31" s="147">
        <v>-4.2</v>
      </c>
      <c r="E31" s="148">
        <v>948.53521126760563</v>
      </c>
      <c r="F31" s="148">
        <v>1069.7647058823529</v>
      </c>
      <c r="G31" s="147">
        <v>12.8</v>
      </c>
      <c r="H31" s="147">
        <v>6.8000000000000007</v>
      </c>
      <c r="I31" s="147">
        <v>7.3</v>
      </c>
      <c r="J31" s="147">
        <v>7.4</v>
      </c>
    </row>
    <row r="32" spans="1:20" ht="15.75" customHeight="1" x14ac:dyDescent="0.2">
      <c r="A32" s="86" t="s">
        <v>99</v>
      </c>
      <c r="B32" s="87">
        <v>6.4</v>
      </c>
      <c r="C32" s="87">
        <v>6.4</v>
      </c>
      <c r="D32" s="87">
        <v>-0.6</v>
      </c>
      <c r="E32" s="88">
        <v>888</v>
      </c>
      <c r="F32" s="88">
        <v>1063</v>
      </c>
      <c r="G32" s="87">
        <v>19.7</v>
      </c>
      <c r="H32" s="87">
        <v>5.7</v>
      </c>
      <c r="I32" s="87">
        <v>6.8</v>
      </c>
      <c r="J32" s="87">
        <v>19.3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/>
      <c r="H33" s="145">
        <v>0</v>
      </c>
      <c r="I33" s="145">
        <v>0</v>
      </c>
      <c r="J33" s="145">
        <v>0</v>
      </c>
    </row>
    <row r="34" spans="1:20" ht="15" customHeight="1" x14ac:dyDescent="0.2">
      <c r="A34" s="142" t="s">
        <v>101</v>
      </c>
      <c r="B34" s="143">
        <v>0.7</v>
      </c>
      <c r="C34" s="143">
        <v>0.4</v>
      </c>
      <c r="D34" s="143">
        <v>-42.9</v>
      </c>
      <c r="E34" s="144">
        <v>1502</v>
      </c>
      <c r="F34" s="144">
        <v>1178</v>
      </c>
      <c r="G34" s="145">
        <v>-21.6</v>
      </c>
      <c r="H34" s="143">
        <v>1.1000000000000001</v>
      </c>
      <c r="I34" s="143">
        <v>0.5</v>
      </c>
      <c r="J34" s="143">
        <v>-54.5</v>
      </c>
    </row>
    <row r="35" spans="1:2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20" ht="15" customHeight="1" x14ac:dyDescent="0.2">
      <c r="A36" s="146" t="s">
        <v>103</v>
      </c>
      <c r="B36" s="147">
        <v>278.10000000000002</v>
      </c>
      <c r="C36" s="147">
        <v>176.50000000000003</v>
      </c>
      <c r="D36" s="147">
        <v>-36.5</v>
      </c>
      <c r="E36" s="148">
        <v>1639.6116504854367</v>
      </c>
      <c r="F36" s="148">
        <v>1455.8356940509914</v>
      </c>
      <c r="G36" s="147">
        <v>-11.2</v>
      </c>
      <c r="H36" s="147">
        <v>455.9</v>
      </c>
      <c r="I36" s="147">
        <v>256.90000000000003</v>
      </c>
      <c r="J36" s="147">
        <v>-43.6</v>
      </c>
    </row>
    <row r="37" spans="1:20" ht="15.75" customHeight="1" x14ac:dyDescent="0.2">
      <c r="A37" s="86" t="s">
        <v>104</v>
      </c>
      <c r="B37" s="87">
        <v>236.3</v>
      </c>
      <c r="C37" s="87">
        <v>144.4</v>
      </c>
      <c r="D37" s="87">
        <v>-38.9</v>
      </c>
      <c r="E37" s="88">
        <v>1654</v>
      </c>
      <c r="F37" s="88">
        <v>1419</v>
      </c>
      <c r="G37" s="87">
        <v>-14.2</v>
      </c>
      <c r="H37" s="87">
        <v>390.8</v>
      </c>
      <c r="I37" s="87">
        <v>204.9</v>
      </c>
      <c r="J37" s="87">
        <v>-47.6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customHeight="1" x14ac:dyDescent="0.2">
      <c r="A38" s="142" t="s">
        <v>105</v>
      </c>
      <c r="B38" s="143">
        <v>26.5</v>
      </c>
      <c r="C38" s="143">
        <v>22.3</v>
      </c>
      <c r="D38" s="143">
        <v>-15.8</v>
      </c>
      <c r="E38" s="144">
        <v>1600</v>
      </c>
      <c r="F38" s="144">
        <v>1700</v>
      </c>
      <c r="G38" s="145">
        <v>6.3</v>
      </c>
      <c r="H38" s="143">
        <v>42.4</v>
      </c>
      <c r="I38" s="143">
        <v>37.9</v>
      </c>
      <c r="J38" s="143">
        <v>-10.6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</row>
    <row r="39" spans="1:20" ht="15.75" customHeight="1" x14ac:dyDescent="0.2">
      <c r="A39" s="86" t="s">
        <v>106</v>
      </c>
      <c r="B39" s="87">
        <v>15.3</v>
      </c>
      <c r="C39" s="87">
        <v>9.8000000000000007</v>
      </c>
      <c r="D39" s="87">
        <v>-35.9</v>
      </c>
      <c r="E39" s="88">
        <v>1486</v>
      </c>
      <c r="F39" s="88">
        <v>1443</v>
      </c>
      <c r="G39" s="87">
        <v>-2.9</v>
      </c>
      <c r="H39" s="87">
        <v>22.7</v>
      </c>
      <c r="I39" s="87">
        <v>14.1</v>
      </c>
      <c r="J39" s="87">
        <v>-37.9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customHeight="1" x14ac:dyDescent="0.2">
      <c r="A40" s="146" t="s">
        <v>107</v>
      </c>
      <c r="B40" s="147">
        <v>1.4</v>
      </c>
      <c r="C40" s="147">
        <v>1.2</v>
      </c>
      <c r="D40" s="147">
        <v>-14.3</v>
      </c>
      <c r="E40" s="148">
        <v>332</v>
      </c>
      <c r="F40" s="148">
        <v>419</v>
      </c>
      <c r="G40" s="147">
        <v>26.2</v>
      </c>
      <c r="H40" s="147">
        <v>0.5</v>
      </c>
      <c r="I40" s="147">
        <v>0.5</v>
      </c>
      <c r="J40" s="147">
        <v>0</v>
      </c>
    </row>
    <row r="41" spans="1:20" ht="15" customHeight="1" x14ac:dyDescent="0.2">
      <c r="A41" s="146" t="s">
        <v>108</v>
      </c>
      <c r="B41" s="147">
        <v>285.20000000000005</v>
      </c>
      <c r="C41" s="147">
        <v>183.30000000000004</v>
      </c>
      <c r="D41" s="147">
        <v>-35.700000000000003</v>
      </c>
      <c r="E41" s="148">
        <v>1622.4074333800838</v>
      </c>
      <c r="F41" s="148">
        <v>1441.5133660665574</v>
      </c>
      <c r="G41" s="147">
        <v>-11.1</v>
      </c>
      <c r="H41" s="147">
        <v>462.7</v>
      </c>
      <c r="I41" s="147">
        <v>264.20000000000005</v>
      </c>
      <c r="J41" s="147">
        <v>-42.9</v>
      </c>
    </row>
    <row r="42" spans="1:20" ht="15" customHeight="1" x14ac:dyDescent="0.2">
      <c r="A42" s="149" t="s">
        <v>58</v>
      </c>
      <c r="B42" s="150">
        <v>286.60000000000002</v>
      </c>
      <c r="C42" s="150">
        <v>184.50000000000003</v>
      </c>
      <c r="D42" s="150">
        <v>-35.6</v>
      </c>
      <c r="E42" s="151">
        <v>1616.1039776692253</v>
      </c>
      <c r="F42" s="151">
        <v>1434.8628726287261</v>
      </c>
      <c r="G42" s="150">
        <v>-11.2</v>
      </c>
      <c r="H42" s="150">
        <v>463.2</v>
      </c>
      <c r="I42" s="150">
        <v>264.70000000000005</v>
      </c>
      <c r="J42" s="150">
        <v>-42.9</v>
      </c>
    </row>
    <row r="43" spans="1:2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" customHeight="1" x14ac:dyDescent="0.2">
      <c r="A44" s="192" t="s">
        <v>212</v>
      </c>
      <c r="B44" s="126"/>
      <c r="C44" s="276"/>
      <c r="D44" s="126"/>
      <c r="E44" s="126"/>
      <c r="F44" s="126"/>
      <c r="G44" s="126"/>
      <c r="H44" s="126"/>
      <c r="I44" s="126"/>
      <c r="J44" s="126"/>
    </row>
    <row r="45" spans="1:20" ht="12.75" customHeight="1" x14ac:dyDescent="0.2">
      <c r="I45" s="27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3" width="11.42578125" style="241" customWidth="1"/>
    <col min="4" max="4" width="10.42578125" style="241" customWidth="1"/>
    <col min="5" max="8" width="11.42578125" style="241" customWidth="1"/>
    <col min="9" max="10" width="12.42578125" style="241" customWidth="1"/>
    <col min="11" max="16" width="11.42578125" style="241" customWidth="1"/>
  </cols>
  <sheetData>
    <row r="1" spans="1:20" ht="36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7" customHeight="1" x14ac:dyDescent="0.2">
      <c r="A5" s="481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20" ht="19.5" customHeight="1" x14ac:dyDescent="0.2">
      <c r="A6" s="481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20" ht="19.5" customHeight="1" x14ac:dyDescent="0.2">
      <c r="A7" s="477"/>
      <c r="B7" s="245" t="s">
        <v>66</v>
      </c>
      <c r="C7" s="248" t="s">
        <v>67</v>
      </c>
      <c r="D7" s="246" t="s">
        <v>68</v>
      </c>
      <c r="E7" s="246" t="s">
        <v>69</v>
      </c>
      <c r="F7" s="246" t="s">
        <v>70</v>
      </c>
      <c r="G7" s="247" t="s">
        <v>71</v>
      </c>
      <c r="H7" s="248" t="s">
        <v>72</v>
      </c>
      <c r="I7" s="246" t="s">
        <v>73</v>
      </c>
      <c r="J7" s="246" t="s">
        <v>74</v>
      </c>
    </row>
    <row r="8" spans="1:20" ht="15" customHeight="1" x14ac:dyDescent="0.2">
      <c r="A8" s="139" t="s">
        <v>75</v>
      </c>
      <c r="B8" s="140">
        <v>75.099999999999994</v>
      </c>
      <c r="C8" s="140">
        <v>126</v>
      </c>
      <c r="D8" s="140">
        <v>67.8</v>
      </c>
      <c r="E8" s="141">
        <v>1185.7163781624499</v>
      </c>
      <c r="F8" s="141">
        <v>1077.3730158730159</v>
      </c>
      <c r="G8" s="140">
        <v>-9.1</v>
      </c>
      <c r="H8" s="140">
        <v>89.1</v>
      </c>
      <c r="I8" s="140">
        <v>135.80000000000001</v>
      </c>
      <c r="J8" s="140">
        <v>52.4</v>
      </c>
    </row>
    <row r="9" spans="1:20" ht="1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20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.75" customHeight="1" x14ac:dyDescent="0.2">
      <c r="A11" s="86" t="s">
        <v>78</v>
      </c>
      <c r="B11" s="87">
        <v>5.3</v>
      </c>
      <c r="C11" s="87">
        <v>5</v>
      </c>
      <c r="D11" s="87">
        <v>-5.6</v>
      </c>
      <c r="E11" s="88">
        <v>563</v>
      </c>
      <c r="F11" s="88">
        <v>554</v>
      </c>
      <c r="G11" s="87">
        <v>-1.6</v>
      </c>
      <c r="H11" s="87">
        <v>3</v>
      </c>
      <c r="I11" s="87">
        <v>2.8</v>
      </c>
      <c r="J11" s="87">
        <v>-6.7</v>
      </c>
      <c r="K11" s="126"/>
      <c r="L11" s="126"/>
      <c r="M11" s="126"/>
      <c r="N11" s="126"/>
      <c r="O11" s="126"/>
      <c r="P11" s="126"/>
      <c r="Q11" s="126"/>
      <c r="R11" s="126"/>
      <c r="S11" s="126"/>
      <c r="T11" s="126"/>
    </row>
    <row r="12" spans="1:20" ht="15" hidden="1" customHeight="1" x14ac:dyDescent="0.2">
      <c r="A12" s="142" t="s">
        <v>79</v>
      </c>
      <c r="B12" s="145"/>
      <c r="C12" s="145"/>
      <c r="D12" s="143"/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20" ht="15" hidden="1" customHeight="1" x14ac:dyDescent="0.2">
      <c r="A13" s="142" t="s">
        <v>80</v>
      </c>
      <c r="B13" s="145">
        <v>0</v>
      </c>
      <c r="C13" s="145">
        <v>0</v>
      </c>
      <c r="D13" s="143"/>
      <c r="E13" s="186">
        <v>0</v>
      </c>
      <c r="F13" s="186">
        <v>0</v>
      </c>
      <c r="G13" s="145">
        <v>0</v>
      </c>
      <c r="H13" s="145">
        <v>0</v>
      </c>
      <c r="I13" s="145">
        <v>0</v>
      </c>
      <c r="J13" s="145">
        <v>0</v>
      </c>
    </row>
    <row r="14" spans="1:20" ht="15" hidden="1" customHeight="1" x14ac:dyDescent="0.2">
      <c r="A14" s="142" t="s">
        <v>81</v>
      </c>
      <c r="B14" s="145">
        <v>0</v>
      </c>
      <c r="C14" s="145">
        <v>0</v>
      </c>
      <c r="D14" s="143"/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20" ht="15.75" customHeight="1" x14ac:dyDescent="0.2">
      <c r="A15" s="86" t="s">
        <v>82</v>
      </c>
      <c r="B15" s="87">
        <v>69.8</v>
      </c>
      <c r="C15" s="87">
        <v>121</v>
      </c>
      <c r="D15" s="87">
        <v>73.400000000000006</v>
      </c>
      <c r="E15" s="88">
        <v>1233</v>
      </c>
      <c r="F15" s="88">
        <v>1099</v>
      </c>
      <c r="G15" s="87">
        <v>-10.9</v>
      </c>
      <c r="H15" s="87">
        <v>86.1</v>
      </c>
      <c r="I15" s="87">
        <v>133</v>
      </c>
      <c r="J15" s="87">
        <v>54.5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</row>
    <row r="16" spans="1:20" ht="15" customHeight="1" x14ac:dyDescent="0.2">
      <c r="A16" s="146" t="s">
        <v>83</v>
      </c>
      <c r="B16" s="147">
        <v>647.80000000000007</v>
      </c>
      <c r="C16" s="147">
        <v>627.1</v>
      </c>
      <c r="D16" s="147">
        <v>-3.2</v>
      </c>
      <c r="E16" s="148">
        <v>351.11299783883914</v>
      </c>
      <c r="F16" s="148">
        <v>452.31350661776429</v>
      </c>
      <c r="G16" s="147">
        <v>28.8</v>
      </c>
      <c r="H16" s="147">
        <v>227.4</v>
      </c>
      <c r="I16" s="147">
        <v>283.69999999999993</v>
      </c>
      <c r="J16" s="147">
        <v>24.8</v>
      </c>
    </row>
    <row r="17" spans="1:20" ht="15.75" customHeight="1" x14ac:dyDescent="0.2">
      <c r="A17" s="86" t="s">
        <v>84</v>
      </c>
      <c r="B17" s="87">
        <v>31.1</v>
      </c>
      <c r="C17" s="87">
        <v>30.1</v>
      </c>
      <c r="D17" s="87">
        <v>-3.2</v>
      </c>
      <c r="E17" s="88">
        <v>710</v>
      </c>
      <c r="F17" s="88">
        <v>743</v>
      </c>
      <c r="G17" s="87">
        <v>4.5999999999999996</v>
      </c>
      <c r="H17" s="87">
        <v>22.1</v>
      </c>
      <c r="I17" s="87">
        <v>22.4</v>
      </c>
      <c r="J17" s="87">
        <v>1.4</v>
      </c>
      <c r="K17" s="126"/>
      <c r="L17" s="126"/>
      <c r="M17" s="126"/>
      <c r="N17" s="126"/>
      <c r="O17" s="126"/>
      <c r="P17" s="126"/>
      <c r="Q17" s="126"/>
      <c r="R17" s="126"/>
      <c r="S17" s="126"/>
      <c r="T17" s="126"/>
    </row>
    <row r="18" spans="1:20" ht="15.75" customHeight="1" x14ac:dyDescent="0.2">
      <c r="A18" s="86" t="s">
        <v>85</v>
      </c>
      <c r="B18" s="87">
        <v>11.4</v>
      </c>
      <c r="C18" s="87">
        <v>13</v>
      </c>
      <c r="D18" s="87">
        <v>14</v>
      </c>
      <c r="E18" s="88">
        <v>1107</v>
      </c>
      <c r="F18" s="88">
        <v>809</v>
      </c>
      <c r="G18" s="87">
        <v>-26.9</v>
      </c>
      <c r="H18" s="87">
        <v>12.6</v>
      </c>
      <c r="I18" s="87">
        <v>10.5</v>
      </c>
      <c r="J18" s="87">
        <v>-16.7</v>
      </c>
      <c r="K18" s="126"/>
      <c r="L18" s="126"/>
      <c r="M18" s="126"/>
      <c r="N18" s="126"/>
      <c r="O18" s="126"/>
      <c r="P18" s="126"/>
      <c r="Q18" s="126"/>
      <c r="R18" s="126"/>
      <c r="S18" s="126"/>
      <c r="T18" s="126"/>
    </row>
    <row r="19" spans="1:20" ht="15.75" customHeight="1" x14ac:dyDescent="0.2">
      <c r="A19" s="86" t="s">
        <v>86</v>
      </c>
      <c r="B19" s="87">
        <v>330.3</v>
      </c>
      <c r="C19" s="87">
        <v>317.7</v>
      </c>
      <c r="D19" s="87">
        <v>-3.8</v>
      </c>
      <c r="E19" s="88">
        <v>154</v>
      </c>
      <c r="F19" s="88">
        <v>363</v>
      </c>
      <c r="G19" s="87">
        <v>135.69999999999999</v>
      </c>
      <c r="H19" s="87">
        <v>50.9</v>
      </c>
      <c r="I19" s="87">
        <v>115.3</v>
      </c>
      <c r="J19" s="87">
        <v>126.5</v>
      </c>
      <c r="K19" s="126"/>
      <c r="L19" s="126"/>
      <c r="M19" s="126"/>
      <c r="N19" s="126"/>
      <c r="O19" s="126"/>
      <c r="P19" s="126"/>
      <c r="Q19" s="126"/>
      <c r="R19" s="126"/>
      <c r="S19" s="126"/>
      <c r="T19" s="126"/>
    </row>
    <row r="20" spans="1:20" ht="15.75" customHeight="1" x14ac:dyDescent="0.2">
      <c r="A20" s="86" t="s">
        <v>87</v>
      </c>
      <c r="B20" s="87">
        <v>46.8</v>
      </c>
      <c r="C20" s="87">
        <v>45.4</v>
      </c>
      <c r="D20" s="87">
        <v>-3</v>
      </c>
      <c r="E20" s="88">
        <v>165</v>
      </c>
      <c r="F20" s="88">
        <v>345</v>
      </c>
      <c r="G20" s="87">
        <v>109.1</v>
      </c>
      <c r="H20" s="87">
        <v>7.7</v>
      </c>
      <c r="I20" s="87">
        <v>15.7</v>
      </c>
      <c r="J20" s="87">
        <v>103.9</v>
      </c>
      <c r="K20" s="126"/>
      <c r="L20" s="126"/>
      <c r="M20" s="126"/>
      <c r="N20" s="126"/>
      <c r="O20" s="126"/>
      <c r="P20" s="126"/>
      <c r="Q20" s="126"/>
      <c r="R20" s="126"/>
      <c r="S20" s="126"/>
      <c r="T20" s="126"/>
    </row>
    <row r="21" spans="1:20" ht="15.75" customHeight="1" x14ac:dyDescent="0.2">
      <c r="A21" s="86" t="s">
        <v>88</v>
      </c>
      <c r="B21" s="87">
        <v>74</v>
      </c>
      <c r="C21" s="87">
        <v>67</v>
      </c>
      <c r="D21" s="87">
        <v>-9.5</v>
      </c>
      <c r="E21" s="88">
        <v>291</v>
      </c>
      <c r="F21" s="88">
        <v>339</v>
      </c>
      <c r="G21" s="87">
        <v>16.5</v>
      </c>
      <c r="H21" s="87">
        <v>21.5</v>
      </c>
      <c r="I21" s="87">
        <v>22.7</v>
      </c>
      <c r="J21" s="87">
        <v>5.6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</row>
    <row r="22" spans="1:20" ht="15.75" customHeight="1" x14ac:dyDescent="0.2">
      <c r="A22" s="86" t="s">
        <v>89</v>
      </c>
      <c r="B22" s="87">
        <v>84.2</v>
      </c>
      <c r="C22" s="87">
        <v>83.9</v>
      </c>
      <c r="D22" s="87">
        <v>-0.4</v>
      </c>
      <c r="E22" s="88">
        <v>340</v>
      </c>
      <c r="F22" s="88">
        <v>406</v>
      </c>
      <c r="G22" s="87">
        <v>19.399999999999999</v>
      </c>
      <c r="H22" s="87">
        <v>28.6</v>
      </c>
      <c r="I22" s="87">
        <v>34.1</v>
      </c>
      <c r="J22" s="87">
        <v>19.2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20" ht="1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70</v>
      </c>
      <c r="C25" s="87">
        <v>70</v>
      </c>
      <c r="D25" s="87">
        <v>0</v>
      </c>
      <c r="E25" s="88">
        <v>1200</v>
      </c>
      <c r="F25" s="88">
        <v>900</v>
      </c>
      <c r="G25" s="87">
        <v>-25</v>
      </c>
      <c r="H25" s="87">
        <v>84</v>
      </c>
      <c r="I25" s="87">
        <v>63</v>
      </c>
      <c r="J25" s="87">
        <v>-25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" customHeight="1" x14ac:dyDescent="0.2">
      <c r="A26" s="146" t="s">
        <v>93</v>
      </c>
      <c r="B26" s="147">
        <v>95.9</v>
      </c>
      <c r="C26" s="147">
        <v>147.19999999999999</v>
      </c>
      <c r="D26" s="147">
        <v>53.5</v>
      </c>
      <c r="E26" s="148">
        <v>1170.7518248175181</v>
      </c>
      <c r="F26" s="148">
        <v>1146.5597826086957</v>
      </c>
      <c r="G26" s="147">
        <v>-2.1</v>
      </c>
      <c r="H26" s="147">
        <v>112.3</v>
      </c>
      <c r="I26" s="147">
        <v>168.8</v>
      </c>
      <c r="J26" s="147">
        <v>50.3</v>
      </c>
    </row>
    <row r="27" spans="1:20" ht="15.75" customHeight="1" x14ac:dyDescent="0.2">
      <c r="A27" s="86" t="s">
        <v>94</v>
      </c>
      <c r="B27" s="87">
        <v>79.7</v>
      </c>
      <c r="C27" s="87">
        <v>117.2</v>
      </c>
      <c r="D27" s="87">
        <v>47.1</v>
      </c>
      <c r="E27" s="88">
        <v>1127</v>
      </c>
      <c r="F27" s="88">
        <v>1138</v>
      </c>
      <c r="G27" s="87">
        <v>1</v>
      </c>
      <c r="H27" s="87">
        <v>89.8</v>
      </c>
      <c r="I27" s="87">
        <v>133.4</v>
      </c>
      <c r="J27" s="87">
        <v>48.6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 ht="15" hidden="1" customHeight="1" x14ac:dyDescent="0.2">
      <c r="A28" s="142" t="s">
        <v>95</v>
      </c>
      <c r="B28" s="145">
        <v>0</v>
      </c>
      <c r="C28" s="145">
        <v>0</v>
      </c>
      <c r="D28" s="143"/>
      <c r="E28" s="186">
        <v>0</v>
      </c>
      <c r="F28" s="186">
        <v>0</v>
      </c>
      <c r="G28" s="145">
        <v>0</v>
      </c>
      <c r="H28" s="145">
        <v>0</v>
      </c>
      <c r="I28" s="145">
        <v>0</v>
      </c>
      <c r="J28" s="145">
        <v>0</v>
      </c>
    </row>
    <row r="29" spans="1:20" ht="15.75" customHeight="1" x14ac:dyDescent="0.2">
      <c r="A29" s="86" t="s">
        <v>96</v>
      </c>
      <c r="B29" s="87">
        <v>16.2</v>
      </c>
      <c r="C29" s="87">
        <v>30</v>
      </c>
      <c r="D29" s="87">
        <v>85.2</v>
      </c>
      <c r="E29" s="88">
        <v>1386</v>
      </c>
      <c r="F29" s="88">
        <v>1180</v>
      </c>
      <c r="G29" s="87">
        <v>-14.9</v>
      </c>
      <c r="H29" s="87">
        <v>22.5</v>
      </c>
      <c r="I29" s="87">
        <v>35.4</v>
      </c>
      <c r="J29" s="87">
        <v>57.3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</row>
    <row r="30" spans="1:2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" customHeight="1" x14ac:dyDescent="0.2">
      <c r="A31" s="146" t="s">
        <v>98</v>
      </c>
      <c r="B31" s="147">
        <v>0.1</v>
      </c>
      <c r="C31" s="147">
        <v>0.1</v>
      </c>
      <c r="D31" s="147">
        <v>0</v>
      </c>
      <c r="E31" s="148">
        <v>955</v>
      </c>
      <c r="F31" s="148">
        <v>1157</v>
      </c>
      <c r="G31" s="147">
        <v>21.2</v>
      </c>
      <c r="H31" s="147">
        <v>0.1</v>
      </c>
      <c r="I31" s="147">
        <v>0.1</v>
      </c>
      <c r="J31" s="147">
        <v>0</v>
      </c>
    </row>
    <row r="32" spans="1:20" ht="15.75" customHeight="1" x14ac:dyDescent="0.2">
      <c r="A32" s="86" t="s">
        <v>99</v>
      </c>
      <c r="B32" s="87">
        <v>0.1</v>
      </c>
      <c r="C32" s="87">
        <v>0.1</v>
      </c>
      <c r="D32" s="87">
        <v>-0.6</v>
      </c>
      <c r="E32" s="88">
        <v>955</v>
      </c>
      <c r="F32" s="88">
        <v>1157</v>
      </c>
      <c r="G32" s="87">
        <v>21.2</v>
      </c>
      <c r="H32" s="87">
        <v>0.1</v>
      </c>
      <c r="I32" s="87">
        <v>0.1</v>
      </c>
      <c r="J32" s="87">
        <v>0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722.90000000000009</v>
      </c>
      <c r="C40" s="147">
        <v>753.1</v>
      </c>
      <c r="D40" s="147">
        <v>4.2</v>
      </c>
      <c r="E40" s="148">
        <v>437.81754046202786</v>
      </c>
      <c r="F40" s="148">
        <v>556.89124950205814</v>
      </c>
      <c r="G40" s="147">
        <v>27.2</v>
      </c>
      <c r="H40" s="147">
        <v>316.5</v>
      </c>
      <c r="I40" s="147">
        <v>419.49999999999994</v>
      </c>
      <c r="J40" s="147">
        <v>32.5</v>
      </c>
    </row>
    <row r="41" spans="1:10" ht="15" customHeight="1" x14ac:dyDescent="0.2">
      <c r="A41" s="146" t="s">
        <v>108</v>
      </c>
      <c r="B41" s="147">
        <v>96</v>
      </c>
      <c r="C41" s="147">
        <v>147.29999999999998</v>
      </c>
      <c r="D41" s="147">
        <v>53.4</v>
      </c>
      <c r="E41" s="148">
        <v>1170.5270833333334</v>
      </c>
      <c r="F41" s="148">
        <v>1146.5668703326546</v>
      </c>
      <c r="G41" s="147">
        <v>-2</v>
      </c>
      <c r="H41" s="147">
        <v>112.39999999999999</v>
      </c>
      <c r="I41" s="147">
        <v>168.9</v>
      </c>
      <c r="J41" s="147">
        <v>50.3</v>
      </c>
    </row>
    <row r="42" spans="1:10" ht="15" customHeight="1" x14ac:dyDescent="0.2">
      <c r="A42" s="149" t="s">
        <v>58</v>
      </c>
      <c r="B42" s="150">
        <v>818.90000000000009</v>
      </c>
      <c r="C42" s="150">
        <v>900.4</v>
      </c>
      <c r="D42" s="150">
        <v>10</v>
      </c>
      <c r="E42" s="151">
        <v>523.71339601904992</v>
      </c>
      <c r="F42" s="151">
        <v>653.35861839182587</v>
      </c>
      <c r="G42" s="150">
        <v>24.8</v>
      </c>
      <c r="H42" s="150">
        <v>428.9</v>
      </c>
      <c r="I42" s="150">
        <v>588.4</v>
      </c>
      <c r="J42" s="150">
        <v>37.200000000000003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212</v>
      </c>
      <c r="B44" s="126"/>
      <c r="C44" s="126"/>
      <c r="D44" s="277"/>
      <c r="E44" s="126"/>
      <c r="F44" s="126"/>
      <c r="G44" s="126"/>
      <c r="H44" s="126"/>
      <c r="I44" s="279"/>
      <c r="J44" s="23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" customWidth="1"/>
    <col min="2" max="6" width="11.42578125" style="1" customWidth="1"/>
    <col min="7" max="7" width="10.42578125" style="1" customWidth="1"/>
    <col min="8" max="26" width="11.42578125" style="1" customWidth="1"/>
  </cols>
  <sheetData>
    <row r="1" spans="1:10" ht="33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8" t="s">
        <v>62</v>
      </c>
      <c r="C5" s="488"/>
      <c r="D5" s="488"/>
      <c r="E5" s="489" t="s">
        <v>63</v>
      </c>
      <c r="F5" s="489"/>
      <c r="G5" s="489"/>
      <c r="H5" s="488" t="s">
        <v>64</v>
      </c>
      <c r="I5" s="488"/>
      <c r="J5" s="488"/>
    </row>
    <row r="6" spans="1:10" ht="20.25" customHeight="1" x14ac:dyDescent="0.2">
      <c r="A6" s="487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85"/>
      <c r="B7" s="283" t="s">
        <v>66</v>
      </c>
      <c r="C7" s="271" t="s">
        <v>67</v>
      </c>
      <c r="D7" s="270" t="s">
        <v>68</v>
      </c>
      <c r="E7" s="271" t="s">
        <v>69</v>
      </c>
      <c r="F7" s="269" t="s">
        <v>70</v>
      </c>
      <c r="G7" s="269" t="s">
        <v>71</v>
      </c>
      <c r="H7" s="269" t="s">
        <v>72</v>
      </c>
      <c r="I7" s="269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78.2</v>
      </c>
      <c r="C8" s="140">
        <v>127.8</v>
      </c>
      <c r="D8" s="140">
        <v>63.4</v>
      </c>
      <c r="E8" s="141">
        <v>1178.6086956521738</v>
      </c>
      <c r="F8" s="141">
        <v>1076.4147104851329</v>
      </c>
      <c r="G8" s="140">
        <v>-8.6999999999999993</v>
      </c>
      <c r="H8" s="140">
        <v>92.199999999999989</v>
      </c>
      <c r="I8" s="140">
        <v>137.6</v>
      </c>
      <c r="J8" s="140">
        <v>49.2</v>
      </c>
    </row>
    <row r="9" spans="1:10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10" ht="15.75" customHeight="1" x14ac:dyDescent="0.2">
      <c r="A10" s="142" t="s">
        <v>77</v>
      </c>
      <c r="B10" s="145">
        <v>2</v>
      </c>
      <c r="C10" s="145">
        <v>1.1000000000000001</v>
      </c>
      <c r="D10" s="143">
        <v>-45</v>
      </c>
      <c r="E10" s="186">
        <v>1060</v>
      </c>
      <c r="F10" s="186">
        <v>1042</v>
      </c>
      <c r="G10" s="145">
        <v>-1.7</v>
      </c>
      <c r="H10" s="145">
        <v>2.1</v>
      </c>
      <c r="I10" s="145">
        <v>1.1000000000000001</v>
      </c>
      <c r="J10" s="145">
        <v>-47.6</v>
      </c>
    </row>
    <row r="11" spans="1:10" ht="15.75" customHeight="1" x14ac:dyDescent="0.2">
      <c r="A11" s="142" t="s">
        <v>78</v>
      </c>
      <c r="B11" s="145">
        <v>5.3</v>
      </c>
      <c r="C11" s="145">
        <v>5</v>
      </c>
      <c r="D11" s="143">
        <v>-5.7</v>
      </c>
      <c r="E11" s="186">
        <v>563</v>
      </c>
      <c r="F11" s="186">
        <v>554</v>
      </c>
      <c r="G11" s="145">
        <v>-1.6</v>
      </c>
      <c r="H11" s="145">
        <v>3</v>
      </c>
      <c r="I11" s="145">
        <v>2.8</v>
      </c>
      <c r="J11" s="145">
        <v>-6.7</v>
      </c>
    </row>
    <row r="12" spans="1:10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>
        <v>0</v>
      </c>
      <c r="F12" s="186">
        <v>0</v>
      </c>
      <c r="G12" s="145">
        <v>0</v>
      </c>
      <c r="H12" s="145">
        <v>0</v>
      </c>
      <c r="I12" s="145">
        <v>0</v>
      </c>
      <c r="J12" s="145">
        <v>0</v>
      </c>
    </row>
    <row r="13" spans="1:10" ht="15.75" customHeight="1" x14ac:dyDescent="0.2">
      <c r="A13" s="142" t="s">
        <v>80</v>
      </c>
      <c r="B13" s="145">
        <v>1.1000000000000001</v>
      </c>
      <c r="C13" s="145">
        <v>0.7</v>
      </c>
      <c r="D13" s="143">
        <v>-36.4</v>
      </c>
      <c r="E13" s="186">
        <v>909</v>
      </c>
      <c r="F13" s="186">
        <v>957.99999999999989</v>
      </c>
      <c r="G13" s="145">
        <v>5.4</v>
      </c>
      <c r="H13" s="145">
        <v>1</v>
      </c>
      <c r="I13" s="145">
        <v>0.7</v>
      </c>
      <c r="J13" s="145">
        <v>-30</v>
      </c>
    </row>
    <row r="14" spans="1:10" ht="15.75" hidden="1" customHeight="1" x14ac:dyDescent="0.2">
      <c r="A14" s="142" t="s">
        <v>81</v>
      </c>
      <c r="B14" s="145">
        <v>0</v>
      </c>
      <c r="C14" s="145">
        <v>0</v>
      </c>
      <c r="D14" s="143">
        <v>0</v>
      </c>
      <c r="E14" s="186">
        <v>0</v>
      </c>
      <c r="F14" s="186">
        <v>0</v>
      </c>
      <c r="G14" s="145">
        <v>0</v>
      </c>
      <c r="H14" s="145">
        <v>0</v>
      </c>
      <c r="I14" s="145">
        <v>0</v>
      </c>
      <c r="J14" s="145">
        <v>0</v>
      </c>
    </row>
    <row r="15" spans="1:10" ht="15.75" customHeight="1" x14ac:dyDescent="0.2">
      <c r="A15" s="142" t="s">
        <v>82</v>
      </c>
      <c r="B15" s="145">
        <v>69.8</v>
      </c>
      <c r="C15" s="145">
        <v>121</v>
      </c>
      <c r="D15" s="143">
        <v>73.400000000000006</v>
      </c>
      <c r="E15" s="186">
        <v>1233</v>
      </c>
      <c r="F15" s="186">
        <v>1099</v>
      </c>
      <c r="G15" s="145">
        <v>-10.9</v>
      </c>
      <c r="H15" s="145">
        <v>86.1</v>
      </c>
      <c r="I15" s="145">
        <v>133</v>
      </c>
      <c r="J15" s="145">
        <v>54.5</v>
      </c>
    </row>
    <row r="16" spans="1:10" ht="15.75" customHeight="1" x14ac:dyDescent="0.2">
      <c r="A16" s="146" t="s">
        <v>83</v>
      </c>
      <c r="B16" s="147">
        <v>708.40000000000009</v>
      </c>
      <c r="C16" s="147">
        <v>679.7</v>
      </c>
      <c r="D16" s="147">
        <v>-4.0999999999999996</v>
      </c>
      <c r="E16" s="148">
        <v>447.59302653867871</v>
      </c>
      <c r="F16" s="148">
        <v>554.71884654994847</v>
      </c>
      <c r="G16" s="147">
        <v>23.9</v>
      </c>
      <c r="H16" s="147">
        <v>317</v>
      </c>
      <c r="I16" s="147">
        <v>377.09999999999997</v>
      </c>
      <c r="J16" s="147">
        <v>19</v>
      </c>
    </row>
    <row r="17" spans="1:10" ht="15.75" customHeight="1" x14ac:dyDescent="0.2">
      <c r="A17" s="142" t="s">
        <v>84</v>
      </c>
      <c r="B17" s="145">
        <v>31.1</v>
      </c>
      <c r="C17" s="145">
        <v>30.1</v>
      </c>
      <c r="D17" s="143">
        <v>-3.2</v>
      </c>
      <c r="E17" s="186">
        <v>710</v>
      </c>
      <c r="F17" s="186">
        <v>742.99999999999989</v>
      </c>
      <c r="G17" s="145">
        <v>4.5999999999999996</v>
      </c>
      <c r="H17" s="145">
        <v>22.1</v>
      </c>
      <c r="I17" s="145">
        <v>22.4</v>
      </c>
      <c r="J17" s="145">
        <v>1.4</v>
      </c>
    </row>
    <row r="18" spans="1:10" ht="15.75" customHeight="1" x14ac:dyDescent="0.2">
      <c r="A18" s="142" t="s">
        <v>85</v>
      </c>
      <c r="B18" s="145">
        <v>11.4</v>
      </c>
      <c r="C18" s="145">
        <v>13</v>
      </c>
      <c r="D18" s="143">
        <v>14</v>
      </c>
      <c r="E18" s="186">
        <v>1107</v>
      </c>
      <c r="F18" s="186">
        <v>809</v>
      </c>
      <c r="G18" s="145">
        <v>-26.9</v>
      </c>
      <c r="H18" s="145">
        <v>12.6</v>
      </c>
      <c r="I18" s="145">
        <v>10.5</v>
      </c>
      <c r="J18" s="145">
        <v>-16.7</v>
      </c>
    </row>
    <row r="19" spans="1:10" ht="15.75" customHeight="1" x14ac:dyDescent="0.2">
      <c r="A19" s="142" t="s">
        <v>86</v>
      </c>
      <c r="B19" s="145">
        <v>336.40000000000003</v>
      </c>
      <c r="C19" s="145">
        <v>323.5</v>
      </c>
      <c r="D19" s="143">
        <v>-3.8</v>
      </c>
      <c r="E19" s="186">
        <v>157.35463733650417</v>
      </c>
      <c r="F19" s="186">
        <v>365.16939721792886</v>
      </c>
      <c r="G19" s="145">
        <v>132.1</v>
      </c>
      <c r="H19" s="145">
        <v>52.9</v>
      </c>
      <c r="I19" s="145">
        <v>118.1</v>
      </c>
      <c r="J19" s="145">
        <v>123.3</v>
      </c>
    </row>
    <row r="20" spans="1:10" ht="15.75" customHeight="1" x14ac:dyDescent="0.2">
      <c r="A20" s="142" t="s">
        <v>87</v>
      </c>
      <c r="B20" s="145">
        <v>46.8</v>
      </c>
      <c r="C20" s="145">
        <v>45.4</v>
      </c>
      <c r="D20" s="143">
        <v>-3</v>
      </c>
      <c r="E20" s="186">
        <v>165</v>
      </c>
      <c r="F20" s="186">
        <v>345</v>
      </c>
      <c r="G20" s="145">
        <v>109.1</v>
      </c>
      <c r="H20" s="145">
        <v>7.7</v>
      </c>
      <c r="I20" s="145">
        <v>15.7</v>
      </c>
      <c r="J20" s="145">
        <v>103.9</v>
      </c>
    </row>
    <row r="21" spans="1:10" ht="15.75" customHeight="1" x14ac:dyDescent="0.2">
      <c r="A21" s="142" t="s">
        <v>88</v>
      </c>
      <c r="B21" s="145">
        <v>101.7</v>
      </c>
      <c r="C21" s="145">
        <v>87.6</v>
      </c>
      <c r="D21" s="143">
        <v>-13.9</v>
      </c>
      <c r="E21" s="186">
        <v>292.85742379547685</v>
      </c>
      <c r="F21" s="186">
        <v>343.63926940639271</v>
      </c>
      <c r="G21" s="145">
        <v>17.3</v>
      </c>
      <c r="H21" s="145">
        <v>29.8</v>
      </c>
      <c r="I21" s="145">
        <v>30.1</v>
      </c>
      <c r="J21" s="145">
        <v>1</v>
      </c>
    </row>
    <row r="22" spans="1:10" ht="15" customHeight="1" x14ac:dyDescent="0.2">
      <c r="A22" s="142" t="s">
        <v>89</v>
      </c>
      <c r="B22" s="145">
        <v>86</v>
      </c>
      <c r="C22" s="145">
        <v>85.100000000000009</v>
      </c>
      <c r="D22" s="143">
        <v>-1</v>
      </c>
      <c r="E22" s="186">
        <v>342.26046511627908</v>
      </c>
      <c r="F22" s="186">
        <v>408.49588719153934</v>
      </c>
      <c r="G22" s="145">
        <v>19.399999999999999</v>
      </c>
      <c r="H22" s="145">
        <v>29.4</v>
      </c>
      <c r="I22" s="145">
        <v>34.799999999999997</v>
      </c>
      <c r="J22" s="145">
        <v>18.399999999999999</v>
      </c>
    </row>
    <row r="23" spans="1:1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1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10" ht="15.75" customHeight="1" x14ac:dyDescent="0.2">
      <c r="A25" s="142" t="s">
        <v>92</v>
      </c>
      <c r="B25" s="145">
        <v>95</v>
      </c>
      <c r="C25" s="145">
        <v>95</v>
      </c>
      <c r="D25" s="143">
        <v>0</v>
      </c>
      <c r="E25" s="186">
        <v>1710.5263157894738</v>
      </c>
      <c r="F25" s="186">
        <v>1531.578947368421</v>
      </c>
      <c r="G25" s="145">
        <v>-10.5</v>
      </c>
      <c r="H25" s="145">
        <v>162.5</v>
      </c>
      <c r="I25" s="145">
        <v>145.5</v>
      </c>
      <c r="J25" s="145">
        <v>-10.5</v>
      </c>
    </row>
    <row r="26" spans="1:10" ht="15.75" customHeight="1" x14ac:dyDescent="0.2">
      <c r="A26" s="146" t="s">
        <v>93</v>
      </c>
      <c r="B26" s="147">
        <v>118.5</v>
      </c>
      <c r="C26" s="147">
        <v>170.10000000000002</v>
      </c>
      <c r="D26" s="147">
        <v>43.5</v>
      </c>
      <c r="E26" s="148">
        <v>1245.4894514767932</v>
      </c>
      <c r="F26" s="148">
        <v>1199.0599647266313</v>
      </c>
      <c r="G26" s="147">
        <v>-3.7</v>
      </c>
      <c r="H26" s="147">
        <v>147.6</v>
      </c>
      <c r="I26" s="147">
        <v>203.9</v>
      </c>
      <c r="J26" s="147">
        <v>38.1</v>
      </c>
    </row>
    <row r="27" spans="1:10" ht="15.75" customHeight="1" x14ac:dyDescent="0.2">
      <c r="A27" s="142" t="s">
        <v>94</v>
      </c>
      <c r="B27" s="145">
        <v>96.6</v>
      </c>
      <c r="C27" s="145">
        <v>132.80000000000001</v>
      </c>
      <c r="D27" s="143">
        <v>37.5</v>
      </c>
      <c r="E27" s="186">
        <v>1190.68115942029</v>
      </c>
      <c r="F27" s="186">
        <v>1180.1716867469879</v>
      </c>
      <c r="G27" s="145">
        <v>-0.9</v>
      </c>
      <c r="H27" s="145">
        <v>115</v>
      </c>
      <c r="I27" s="145">
        <v>156.69999999999999</v>
      </c>
      <c r="J27" s="145">
        <v>36.299999999999997</v>
      </c>
    </row>
    <row r="28" spans="1:10" ht="15.75" customHeight="1" x14ac:dyDescent="0.2">
      <c r="A28" s="142" t="s">
        <v>95</v>
      </c>
      <c r="B28" s="145">
        <v>5.7</v>
      </c>
      <c r="C28" s="145">
        <v>7.3</v>
      </c>
      <c r="D28" s="143">
        <v>28.1</v>
      </c>
      <c r="E28" s="186">
        <v>1775</v>
      </c>
      <c r="F28" s="186">
        <v>1621</v>
      </c>
      <c r="G28" s="145">
        <v>-8.6999999999999993</v>
      </c>
      <c r="H28" s="145">
        <v>10.1</v>
      </c>
      <c r="I28" s="145">
        <v>11.8</v>
      </c>
      <c r="J28" s="145">
        <v>16.8</v>
      </c>
    </row>
    <row r="29" spans="1:10" ht="15.75" customHeight="1" x14ac:dyDescent="0.2">
      <c r="A29" s="142" t="s">
        <v>96</v>
      </c>
      <c r="B29" s="145">
        <v>16.2</v>
      </c>
      <c r="C29" s="145">
        <v>30</v>
      </c>
      <c r="D29" s="143">
        <v>85.2</v>
      </c>
      <c r="E29" s="186">
        <v>1386</v>
      </c>
      <c r="F29" s="186">
        <v>1180</v>
      </c>
      <c r="G29" s="145">
        <v>-14.9</v>
      </c>
      <c r="H29" s="145">
        <v>22.5</v>
      </c>
      <c r="I29" s="145">
        <v>35.4</v>
      </c>
      <c r="J29" s="145">
        <v>57.3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123.10000000000001</v>
      </c>
      <c r="C31" s="147">
        <v>133.1</v>
      </c>
      <c r="D31" s="147">
        <v>8.1</v>
      </c>
      <c r="E31" s="148">
        <v>1473.6685621445979</v>
      </c>
      <c r="F31" s="148">
        <v>1592.705484598047</v>
      </c>
      <c r="G31" s="147">
        <v>8.1</v>
      </c>
      <c r="H31" s="147">
        <v>181.4</v>
      </c>
      <c r="I31" s="147">
        <v>212.1</v>
      </c>
      <c r="J31" s="147">
        <v>16.899999999999999</v>
      </c>
    </row>
    <row r="32" spans="1:10" ht="15.75" customHeight="1" x14ac:dyDescent="0.2">
      <c r="A32" s="142" t="s">
        <v>99</v>
      </c>
      <c r="B32" s="145">
        <v>101.2</v>
      </c>
      <c r="C32" s="145">
        <v>111.6</v>
      </c>
      <c r="D32" s="143">
        <v>10.3</v>
      </c>
      <c r="E32" s="186">
        <v>1465.4367588932807</v>
      </c>
      <c r="F32" s="186">
        <v>1585.758960573477</v>
      </c>
      <c r="G32" s="145">
        <v>8.1999999999999993</v>
      </c>
      <c r="H32" s="145">
        <v>148.30000000000001</v>
      </c>
      <c r="I32" s="145">
        <v>177</v>
      </c>
      <c r="J32" s="145">
        <v>19.399999999999999</v>
      </c>
    </row>
    <row r="33" spans="1:10" ht="15.75" customHeight="1" x14ac:dyDescent="0.2">
      <c r="A33" s="142" t="s">
        <v>100</v>
      </c>
      <c r="B33" s="145">
        <v>3.9</v>
      </c>
      <c r="C33" s="145">
        <v>3.8</v>
      </c>
      <c r="D33" s="143">
        <v>-2.6</v>
      </c>
      <c r="E33" s="186">
        <v>900</v>
      </c>
      <c r="F33" s="186">
        <v>1015</v>
      </c>
      <c r="G33" s="145">
        <v>12.8</v>
      </c>
      <c r="H33" s="145">
        <v>3.5</v>
      </c>
      <c r="I33" s="145">
        <v>3.9</v>
      </c>
      <c r="J33" s="145">
        <v>11.4</v>
      </c>
    </row>
    <row r="34" spans="1:10" ht="15.75" customHeight="1" x14ac:dyDescent="0.2">
      <c r="A34" s="142" t="s">
        <v>101</v>
      </c>
      <c r="B34" s="145">
        <v>0.7</v>
      </c>
      <c r="C34" s="145">
        <v>0.4</v>
      </c>
      <c r="D34" s="143">
        <v>-42.9</v>
      </c>
      <c r="E34" s="186">
        <v>1502</v>
      </c>
      <c r="F34" s="186">
        <v>1178</v>
      </c>
      <c r="G34" s="145">
        <v>-21.6</v>
      </c>
      <c r="H34" s="145">
        <v>1.1000000000000001</v>
      </c>
      <c r="I34" s="145">
        <v>0.5</v>
      </c>
      <c r="J34" s="145">
        <v>-54.5</v>
      </c>
    </row>
    <row r="35" spans="1:10" ht="15.75" customHeight="1" x14ac:dyDescent="0.2">
      <c r="A35" s="142" t="s">
        <v>102</v>
      </c>
      <c r="B35" s="145">
        <v>17.3</v>
      </c>
      <c r="C35" s="145">
        <v>17.3</v>
      </c>
      <c r="D35" s="143">
        <v>0</v>
      </c>
      <c r="E35" s="186">
        <v>1650</v>
      </c>
      <c r="F35" s="186">
        <v>1774</v>
      </c>
      <c r="G35" s="145">
        <v>7.5</v>
      </c>
      <c r="H35" s="145">
        <v>28.5</v>
      </c>
      <c r="I35" s="145">
        <v>30.7</v>
      </c>
      <c r="J35" s="145">
        <v>7.7</v>
      </c>
    </row>
    <row r="36" spans="1:10" ht="15.75" customHeight="1" x14ac:dyDescent="0.2">
      <c r="A36" s="146" t="s">
        <v>103</v>
      </c>
      <c r="B36" s="147">
        <v>371.9</v>
      </c>
      <c r="C36" s="147">
        <v>261.39999999999998</v>
      </c>
      <c r="D36" s="147">
        <v>-29.7</v>
      </c>
      <c r="E36" s="148">
        <v>1601.1486958859912</v>
      </c>
      <c r="F36" s="148">
        <v>1450.493496557001</v>
      </c>
      <c r="G36" s="147">
        <v>-9.4</v>
      </c>
      <c r="H36" s="147">
        <v>595.40000000000009</v>
      </c>
      <c r="I36" s="147">
        <v>379.20000000000005</v>
      </c>
      <c r="J36" s="147">
        <v>-36.299999999999997</v>
      </c>
    </row>
    <row r="37" spans="1:10" ht="15.75" customHeight="1" x14ac:dyDescent="0.2">
      <c r="A37" s="142" t="s">
        <v>104</v>
      </c>
      <c r="B37" s="145">
        <v>327.9</v>
      </c>
      <c r="C37" s="145">
        <v>227.4</v>
      </c>
      <c r="D37" s="143">
        <v>-30.6</v>
      </c>
      <c r="E37" s="186">
        <v>1605.9512046355599</v>
      </c>
      <c r="F37" s="186">
        <v>1425.9349164467897</v>
      </c>
      <c r="G37" s="145">
        <v>-11.2</v>
      </c>
      <c r="H37" s="145">
        <v>526.6</v>
      </c>
      <c r="I37" s="145">
        <v>324.3</v>
      </c>
      <c r="J37" s="145">
        <v>-38.4</v>
      </c>
    </row>
    <row r="38" spans="1:10" ht="15.75" customHeight="1" x14ac:dyDescent="0.2">
      <c r="A38" s="142" t="s">
        <v>105</v>
      </c>
      <c r="B38" s="145">
        <v>28.7</v>
      </c>
      <c r="C38" s="145">
        <v>24.2</v>
      </c>
      <c r="D38" s="143">
        <v>-15.7</v>
      </c>
      <c r="E38" s="186">
        <v>1607.6655052264809</v>
      </c>
      <c r="F38" s="186">
        <v>1684.297520661157</v>
      </c>
      <c r="G38" s="145">
        <v>4.8</v>
      </c>
      <c r="H38" s="145">
        <v>46.1</v>
      </c>
      <c r="I38" s="145">
        <v>40.799999999999997</v>
      </c>
      <c r="J38" s="145">
        <v>-11.5</v>
      </c>
    </row>
    <row r="39" spans="1:10" ht="15.75" customHeight="1" x14ac:dyDescent="0.2">
      <c r="A39" s="142" t="s">
        <v>106</v>
      </c>
      <c r="B39" s="145">
        <v>15.3</v>
      </c>
      <c r="C39" s="145">
        <v>9.8000000000000007</v>
      </c>
      <c r="D39" s="143">
        <v>-35.9</v>
      </c>
      <c r="E39" s="186">
        <v>1485.9999999999998</v>
      </c>
      <c r="F39" s="186">
        <v>1443</v>
      </c>
      <c r="G39" s="145">
        <v>-2.9</v>
      </c>
      <c r="H39" s="145">
        <v>22.7</v>
      </c>
      <c r="I39" s="145">
        <v>14.1</v>
      </c>
      <c r="J39" s="145">
        <v>-37.9</v>
      </c>
    </row>
    <row r="40" spans="1:10" ht="15.75" customHeight="1" x14ac:dyDescent="0.2">
      <c r="A40" s="146" t="s">
        <v>107</v>
      </c>
      <c r="B40" s="147">
        <v>786.60000000000014</v>
      </c>
      <c r="C40" s="147">
        <v>807.5</v>
      </c>
      <c r="D40" s="147">
        <v>2.7</v>
      </c>
      <c r="E40" s="148">
        <v>520.26709890668701</v>
      </c>
      <c r="F40" s="148">
        <v>637.28569659442724</v>
      </c>
      <c r="G40" s="147">
        <v>22.5</v>
      </c>
      <c r="H40" s="147">
        <v>409.2</v>
      </c>
      <c r="I40" s="147">
        <v>514.69999999999993</v>
      </c>
      <c r="J40" s="147">
        <v>25.8</v>
      </c>
    </row>
    <row r="41" spans="1:10" ht="15.75" customHeight="1" x14ac:dyDescent="0.2">
      <c r="A41" s="146" t="s">
        <v>108</v>
      </c>
      <c r="B41" s="147">
        <v>613.5</v>
      </c>
      <c r="C41" s="147">
        <v>564.6</v>
      </c>
      <c r="D41" s="147">
        <v>-8</v>
      </c>
      <c r="E41" s="148">
        <v>1506.8725346373269</v>
      </c>
      <c r="F41" s="148">
        <v>1408.2681544456252</v>
      </c>
      <c r="G41" s="147">
        <v>-6.5</v>
      </c>
      <c r="H41" s="147">
        <v>924.40000000000009</v>
      </c>
      <c r="I41" s="147">
        <v>795.2</v>
      </c>
      <c r="J41" s="147">
        <v>-14</v>
      </c>
    </row>
    <row r="42" spans="1:10" ht="15.75" customHeight="1" x14ac:dyDescent="0.2">
      <c r="A42" s="149" t="s">
        <v>58</v>
      </c>
      <c r="B42" s="150">
        <v>1400.1000000000001</v>
      </c>
      <c r="C42" s="150">
        <v>1372.1</v>
      </c>
      <c r="D42" s="150">
        <v>-2</v>
      </c>
      <c r="E42" s="151">
        <v>952.58081565602458</v>
      </c>
      <c r="F42" s="151">
        <v>954.53421762262224</v>
      </c>
      <c r="G42" s="150">
        <v>0.2</v>
      </c>
      <c r="H42" s="150">
        <v>1333.6000000000001</v>
      </c>
      <c r="I42" s="150">
        <v>1309.9000000000001</v>
      </c>
      <c r="J42" s="150">
        <v>-1.8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212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6" width="11.42578125" style="241" customWidth="1"/>
    <col min="7" max="7" width="9.42578125" style="241" customWidth="1"/>
    <col min="8" max="9" width="11.42578125" style="241" customWidth="1"/>
    <col min="10" max="10" width="10.42578125" style="241" customWidth="1"/>
    <col min="11" max="15" width="11.42578125" style="241" customWidth="1"/>
  </cols>
  <sheetData>
    <row r="1" spans="1:20" ht="31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4.75" customHeight="1" x14ac:dyDescent="0.2">
      <c r="A5" s="471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20" ht="19.5" customHeight="1" x14ac:dyDescent="0.2">
      <c r="A6" s="472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20" ht="19.5" customHeight="1" x14ac:dyDescent="0.2">
      <c r="A7" s="473"/>
      <c r="B7" s="284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7" t="s">
        <v>74</v>
      </c>
    </row>
    <row r="8" spans="1:20" ht="15" customHeight="1" x14ac:dyDescent="0.2">
      <c r="A8" s="139" t="s">
        <v>75</v>
      </c>
      <c r="B8" s="140">
        <v>0.3</v>
      </c>
      <c r="C8" s="140">
        <v>0.4</v>
      </c>
      <c r="D8" s="140">
        <v>33.299999999999997</v>
      </c>
      <c r="E8" s="141">
        <v>3120</v>
      </c>
      <c r="F8" s="141">
        <v>2826.9999999999995</v>
      </c>
      <c r="G8" s="140">
        <v>-9.4</v>
      </c>
      <c r="H8" s="140">
        <v>0.9</v>
      </c>
      <c r="I8" s="140">
        <v>1.1000000000000001</v>
      </c>
      <c r="J8" s="140">
        <v>22.2</v>
      </c>
    </row>
    <row r="9" spans="1:20" ht="1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0" ht="1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20" ht="15.75" customHeight="1" x14ac:dyDescent="0.2">
      <c r="A15" s="86" t="s">
        <v>82</v>
      </c>
      <c r="B15" s="87">
        <v>0.3</v>
      </c>
      <c r="C15" s="87">
        <v>0.4</v>
      </c>
      <c r="D15" s="87">
        <v>33.299999999999997</v>
      </c>
      <c r="E15" s="88">
        <v>3120</v>
      </c>
      <c r="F15" s="88">
        <v>2827</v>
      </c>
      <c r="G15" s="87">
        <v>-9.4</v>
      </c>
      <c r="H15" s="87">
        <v>0.9</v>
      </c>
      <c r="I15" s="87">
        <v>1.1000000000000001</v>
      </c>
      <c r="J15" s="87">
        <v>22.2</v>
      </c>
      <c r="K15" s="126"/>
      <c r="L15" s="126"/>
      <c r="M15" s="126"/>
      <c r="N15" s="126"/>
      <c r="O15" s="126"/>
      <c r="P15" s="126"/>
      <c r="Q15" s="126"/>
      <c r="R15" s="126"/>
      <c r="S15" s="126"/>
      <c r="T15" s="126"/>
    </row>
    <row r="16" spans="1:20" ht="15" customHeight="1" x14ac:dyDescent="0.2">
      <c r="A16" s="146" t="s">
        <v>83</v>
      </c>
      <c r="B16" s="147">
        <v>132.69999999999999</v>
      </c>
      <c r="C16" s="147">
        <v>119.8</v>
      </c>
      <c r="D16" s="147">
        <v>-9.6999999999999993</v>
      </c>
      <c r="E16" s="148">
        <v>878.04370761115297</v>
      </c>
      <c r="F16" s="148">
        <v>673.90066777963261</v>
      </c>
      <c r="G16" s="147">
        <v>-23.2</v>
      </c>
      <c r="H16" s="147">
        <v>116.5</v>
      </c>
      <c r="I16" s="147">
        <v>80.600000000000009</v>
      </c>
      <c r="J16" s="147">
        <v>-30.8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customHeight="1" x14ac:dyDescent="0.2">
      <c r="A22" s="86" t="s">
        <v>89</v>
      </c>
      <c r="B22" s="87">
        <v>50.6</v>
      </c>
      <c r="C22" s="87">
        <v>49.2</v>
      </c>
      <c r="D22" s="87">
        <v>-2.8</v>
      </c>
      <c r="E22" s="88">
        <v>1233</v>
      </c>
      <c r="F22" s="88">
        <v>1244</v>
      </c>
      <c r="G22" s="87">
        <v>0.9</v>
      </c>
      <c r="H22" s="87">
        <v>62.4</v>
      </c>
      <c r="I22" s="87">
        <v>61.2</v>
      </c>
      <c r="J22" s="87">
        <v>-1.9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.75" customHeight="1" x14ac:dyDescent="0.2">
      <c r="A23" s="86" t="s">
        <v>90</v>
      </c>
      <c r="B23" s="87">
        <v>18.399999999999999</v>
      </c>
      <c r="C23" s="87">
        <v>6.9</v>
      </c>
      <c r="D23" s="87">
        <v>-62.5</v>
      </c>
      <c r="E23" s="88">
        <v>576</v>
      </c>
      <c r="F23" s="88">
        <v>413</v>
      </c>
      <c r="G23" s="87">
        <v>-28.3</v>
      </c>
      <c r="H23" s="87">
        <v>10.6</v>
      </c>
      <c r="I23" s="87">
        <v>2.8</v>
      </c>
      <c r="J23" s="87">
        <v>-73.599999999999994</v>
      </c>
      <c r="K23" s="126"/>
      <c r="L23" s="126"/>
      <c r="M23" s="126"/>
      <c r="N23" s="126"/>
      <c r="O23" s="126"/>
      <c r="P23" s="126"/>
      <c r="Q23" s="126"/>
      <c r="R23" s="126"/>
      <c r="S23" s="126"/>
      <c r="T23" s="126"/>
    </row>
    <row r="24" spans="1:2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  <c r="K24" s="126"/>
      <c r="L24" s="126"/>
      <c r="M24" s="126"/>
      <c r="N24" s="126"/>
      <c r="O24" s="126"/>
      <c r="P24" s="126"/>
      <c r="Q24" s="126"/>
      <c r="R24" s="126"/>
      <c r="S24" s="126"/>
      <c r="T24" s="126"/>
    </row>
    <row r="25" spans="1:20" ht="15.75" customHeight="1" x14ac:dyDescent="0.2">
      <c r="A25" s="86" t="s">
        <v>92</v>
      </c>
      <c r="B25" s="87">
        <v>61.3</v>
      </c>
      <c r="C25" s="87">
        <v>61.3</v>
      </c>
      <c r="D25" s="87">
        <v>0</v>
      </c>
      <c r="E25" s="88">
        <v>690</v>
      </c>
      <c r="F25" s="88">
        <v>252</v>
      </c>
      <c r="G25" s="87">
        <v>-63.5</v>
      </c>
      <c r="H25" s="87">
        <v>42.3</v>
      </c>
      <c r="I25" s="87">
        <v>15.4</v>
      </c>
      <c r="J25" s="87">
        <v>-63.6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" customHeight="1" x14ac:dyDescent="0.2">
      <c r="A26" s="146" t="s">
        <v>93</v>
      </c>
      <c r="B26" s="147">
        <v>120.60000000000001</v>
      </c>
      <c r="C26" s="147">
        <v>124.9</v>
      </c>
      <c r="D26" s="147">
        <v>3.6</v>
      </c>
      <c r="E26" s="148">
        <v>2886.2371475953564</v>
      </c>
      <c r="F26" s="148">
        <v>2911.8070456365094</v>
      </c>
      <c r="G26" s="147">
        <v>0.9</v>
      </c>
      <c r="H26" s="147">
        <v>348.1</v>
      </c>
      <c r="I26" s="147">
        <v>363.8</v>
      </c>
      <c r="J26" s="147">
        <v>4.5</v>
      </c>
    </row>
    <row r="27" spans="1:20" ht="15.75" customHeight="1" x14ac:dyDescent="0.2">
      <c r="A27" s="86" t="s">
        <v>94</v>
      </c>
      <c r="B27" s="87">
        <v>57.2</v>
      </c>
      <c r="C27" s="87">
        <v>62.7</v>
      </c>
      <c r="D27" s="87">
        <v>9.6</v>
      </c>
      <c r="E27" s="88">
        <v>2986</v>
      </c>
      <c r="F27" s="88">
        <v>2709</v>
      </c>
      <c r="G27" s="87">
        <v>-9.3000000000000007</v>
      </c>
      <c r="H27" s="87">
        <v>170.8</v>
      </c>
      <c r="I27" s="87">
        <v>169.9</v>
      </c>
      <c r="J27" s="87">
        <v>-0.5</v>
      </c>
      <c r="K27" s="126"/>
      <c r="L27" s="126"/>
      <c r="M27" s="126"/>
      <c r="N27" s="126"/>
      <c r="O27" s="126"/>
      <c r="P27" s="126"/>
      <c r="Q27" s="126"/>
      <c r="R27" s="126"/>
      <c r="S27" s="126"/>
      <c r="T27" s="126"/>
    </row>
    <row r="28" spans="1:2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customHeight="1" x14ac:dyDescent="0.2">
      <c r="A29" s="86" t="s">
        <v>96</v>
      </c>
      <c r="B29" s="87">
        <v>60</v>
      </c>
      <c r="C29" s="87">
        <v>59</v>
      </c>
      <c r="D29" s="87">
        <v>-1.7</v>
      </c>
      <c r="E29" s="88">
        <v>2781</v>
      </c>
      <c r="F29" s="88">
        <v>3120</v>
      </c>
      <c r="G29" s="87">
        <v>12.2</v>
      </c>
      <c r="H29" s="87">
        <v>166.9</v>
      </c>
      <c r="I29" s="87">
        <v>184.1</v>
      </c>
      <c r="J29" s="87">
        <v>10.3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</row>
    <row r="30" spans="1:20" ht="15.75" customHeight="1" x14ac:dyDescent="0.2">
      <c r="A30" s="86" t="s">
        <v>97</v>
      </c>
      <c r="B30" s="87">
        <v>3.4</v>
      </c>
      <c r="C30" s="87">
        <v>3.2</v>
      </c>
      <c r="D30" s="87">
        <v>-5.0999999999999996</v>
      </c>
      <c r="E30" s="88">
        <v>3065</v>
      </c>
      <c r="F30" s="88">
        <v>3047</v>
      </c>
      <c r="G30" s="87">
        <v>-0.6</v>
      </c>
      <c r="H30" s="87">
        <v>10.4</v>
      </c>
      <c r="I30" s="87">
        <v>9.8000000000000007</v>
      </c>
      <c r="J30" s="87">
        <v>-5.8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</row>
    <row r="31" spans="1:20" ht="15" customHeight="1" x14ac:dyDescent="0.2">
      <c r="A31" s="146" t="s">
        <v>98</v>
      </c>
      <c r="B31" s="147">
        <v>72.400000000000006</v>
      </c>
      <c r="C31" s="147">
        <v>77.400000000000006</v>
      </c>
      <c r="D31" s="147">
        <v>6.9</v>
      </c>
      <c r="E31" s="148">
        <v>2046.3825966850825</v>
      </c>
      <c r="F31" s="148">
        <v>2294.8682170542634</v>
      </c>
      <c r="G31" s="147">
        <v>12.1</v>
      </c>
      <c r="H31" s="147">
        <v>148.19999999999999</v>
      </c>
      <c r="I31" s="147">
        <v>177.60000000000002</v>
      </c>
      <c r="J31" s="147">
        <v>19.8</v>
      </c>
    </row>
    <row r="32" spans="1:20" ht="15.75" customHeight="1" x14ac:dyDescent="0.2">
      <c r="A32" s="86" t="s">
        <v>99</v>
      </c>
      <c r="B32" s="87">
        <v>56.9</v>
      </c>
      <c r="C32" s="87">
        <v>61.9</v>
      </c>
      <c r="D32" s="87">
        <v>8.6999999999999993</v>
      </c>
      <c r="E32" s="88">
        <v>1919</v>
      </c>
      <c r="F32" s="88">
        <v>2242</v>
      </c>
      <c r="G32" s="87">
        <v>16.8</v>
      </c>
      <c r="H32" s="87">
        <v>109.2</v>
      </c>
      <c r="I32" s="87">
        <v>138.80000000000001</v>
      </c>
      <c r="J32" s="87">
        <v>27.1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customHeight="1" x14ac:dyDescent="0.2">
      <c r="A35" s="86" t="s">
        <v>102</v>
      </c>
      <c r="B35" s="87">
        <v>15.5</v>
      </c>
      <c r="C35" s="87">
        <v>15.5</v>
      </c>
      <c r="D35" s="87">
        <v>0</v>
      </c>
      <c r="E35" s="88">
        <v>2514</v>
      </c>
      <c r="F35" s="88">
        <v>2506</v>
      </c>
      <c r="G35" s="87">
        <v>-0.3</v>
      </c>
      <c r="H35" s="87">
        <v>39</v>
      </c>
      <c r="I35" s="87">
        <v>38.799999999999997</v>
      </c>
      <c r="J35" s="87">
        <v>-0.5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" customHeight="1" x14ac:dyDescent="0.2">
      <c r="A36" s="146" t="s">
        <v>103</v>
      </c>
      <c r="B36" s="147">
        <v>0.5</v>
      </c>
      <c r="C36" s="147">
        <v>0.3</v>
      </c>
      <c r="D36" s="147">
        <v>-40</v>
      </c>
      <c r="E36" s="148">
        <v>978</v>
      </c>
      <c r="F36" s="148">
        <v>1125</v>
      </c>
      <c r="G36" s="147">
        <v>15</v>
      </c>
      <c r="H36" s="147">
        <v>0.5</v>
      </c>
      <c r="I36" s="147">
        <v>0.3</v>
      </c>
      <c r="J36" s="147">
        <v>-40</v>
      </c>
    </row>
    <row r="37" spans="1:20" ht="15.75" customHeight="1" x14ac:dyDescent="0.2">
      <c r="A37" s="86" t="s">
        <v>104</v>
      </c>
      <c r="B37" s="87">
        <v>0.5</v>
      </c>
      <c r="C37" s="87">
        <v>0.3</v>
      </c>
      <c r="D37" s="87">
        <v>-40</v>
      </c>
      <c r="E37" s="88">
        <v>978</v>
      </c>
      <c r="F37" s="88">
        <v>1125</v>
      </c>
      <c r="G37" s="87">
        <v>15</v>
      </c>
      <c r="H37" s="87">
        <v>0.5</v>
      </c>
      <c r="I37" s="87">
        <v>0.3</v>
      </c>
      <c r="J37" s="87">
        <v>-40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20" ht="15" customHeight="1" x14ac:dyDescent="0.2">
      <c r="A40" s="146" t="s">
        <v>107</v>
      </c>
      <c r="B40" s="147">
        <v>133</v>
      </c>
      <c r="C40" s="147">
        <v>120.2</v>
      </c>
      <c r="D40" s="147">
        <v>-9.6</v>
      </c>
      <c r="E40" s="148">
        <v>883.10075187969926</v>
      </c>
      <c r="F40" s="148">
        <v>681.06572379367708</v>
      </c>
      <c r="G40" s="147">
        <v>-22.9</v>
      </c>
      <c r="H40" s="147">
        <v>117.4</v>
      </c>
      <c r="I40" s="147">
        <v>81.7</v>
      </c>
      <c r="J40" s="147">
        <v>-30.4</v>
      </c>
    </row>
    <row r="41" spans="1:20" ht="15" customHeight="1" x14ac:dyDescent="0.2">
      <c r="A41" s="146" t="s">
        <v>108</v>
      </c>
      <c r="B41" s="147">
        <v>193.5</v>
      </c>
      <c r="C41" s="147">
        <v>202.60000000000002</v>
      </c>
      <c r="D41" s="147">
        <v>4.7</v>
      </c>
      <c r="E41" s="148">
        <v>2567.0661498708009</v>
      </c>
      <c r="F41" s="148">
        <v>2673.4698914116484</v>
      </c>
      <c r="G41" s="147">
        <v>4.0999999999999996</v>
      </c>
      <c r="H41" s="147">
        <v>496.8</v>
      </c>
      <c r="I41" s="147">
        <v>541.70000000000005</v>
      </c>
      <c r="J41" s="147">
        <v>9</v>
      </c>
    </row>
    <row r="42" spans="1:20" ht="15" customHeight="1" x14ac:dyDescent="0.2">
      <c r="A42" s="149" t="s">
        <v>58</v>
      </c>
      <c r="B42" s="150">
        <v>326.5</v>
      </c>
      <c r="C42" s="150">
        <v>322.8</v>
      </c>
      <c r="D42" s="150">
        <v>-1.1000000000000001</v>
      </c>
      <c r="E42" s="151">
        <v>1881.1016845329248</v>
      </c>
      <c r="F42" s="151">
        <v>1931.5647459727388</v>
      </c>
      <c r="G42" s="150">
        <v>2.7</v>
      </c>
      <c r="H42" s="150">
        <v>614.20000000000005</v>
      </c>
      <c r="I42" s="150">
        <v>623.40000000000009</v>
      </c>
      <c r="J42" s="150">
        <v>1.5</v>
      </c>
    </row>
    <row r="43" spans="1:2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" customHeight="1" x14ac:dyDescent="0.2">
      <c r="A44" s="192" t="s">
        <v>212</v>
      </c>
      <c r="B44" s="126"/>
      <c r="C44" s="126"/>
      <c r="D44" s="126"/>
      <c r="E44" s="126"/>
      <c r="F44" s="126"/>
      <c r="G44" s="126"/>
      <c r="H44" s="126"/>
      <c r="I44" s="194"/>
      <c r="J44" s="126"/>
    </row>
    <row r="51" spans="8:8" ht="12.75" customHeight="1" x14ac:dyDescent="0.2">
      <c r="H51" s="28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241" customWidth="1"/>
    <col min="2" max="2" width="12.42578125" style="241" customWidth="1"/>
    <col min="3" max="3" width="11.42578125" style="241" customWidth="1"/>
    <col min="4" max="4" width="10.42578125" style="241" customWidth="1"/>
    <col min="5" max="7" width="11.42578125" style="241" customWidth="1"/>
    <col min="8" max="8" width="12.42578125" style="241" customWidth="1"/>
    <col min="9" max="9" width="11.42578125" style="241" customWidth="1"/>
    <col min="10" max="10" width="10.42578125" style="241" customWidth="1"/>
    <col min="11" max="16" width="11.42578125" style="241" customWidth="1"/>
  </cols>
  <sheetData>
    <row r="1" spans="1:10" ht="40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19.5" customHeight="1" x14ac:dyDescent="0.2">
      <c r="A5" s="481" t="s">
        <v>61</v>
      </c>
      <c r="B5" s="483" t="s">
        <v>62</v>
      </c>
      <c r="C5" s="483"/>
      <c r="D5" s="483"/>
      <c r="E5" s="481" t="s">
        <v>63</v>
      </c>
      <c r="F5" s="481"/>
      <c r="G5" s="481"/>
      <c r="H5" s="483" t="s">
        <v>64</v>
      </c>
      <c r="I5" s="483"/>
      <c r="J5" s="483"/>
    </row>
    <row r="6" spans="1:10" ht="19.5" customHeight="1" x14ac:dyDescent="0.2">
      <c r="A6" s="481"/>
      <c r="B6" s="252" t="s">
        <v>2</v>
      </c>
      <c r="C6" s="252" t="s">
        <v>5</v>
      </c>
      <c r="D6" s="252" t="s">
        <v>65</v>
      </c>
      <c r="E6" s="252" t="s">
        <v>2</v>
      </c>
      <c r="F6" s="252" t="s">
        <v>5</v>
      </c>
      <c r="G6" s="252" t="s">
        <v>65</v>
      </c>
      <c r="H6" s="252" t="s">
        <v>2</v>
      </c>
      <c r="I6" s="252" t="s">
        <v>5</v>
      </c>
      <c r="J6" s="252" t="s">
        <v>65</v>
      </c>
    </row>
    <row r="7" spans="1:10" ht="19.5" customHeight="1" x14ac:dyDescent="0.2">
      <c r="A7" s="477"/>
      <c r="B7" s="253" t="s">
        <v>66</v>
      </c>
      <c r="C7" s="252" t="s">
        <v>67</v>
      </c>
      <c r="D7" s="252" t="s">
        <v>68</v>
      </c>
      <c r="E7" s="252" t="s">
        <v>69</v>
      </c>
      <c r="F7" s="252" t="s">
        <v>70</v>
      </c>
      <c r="G7" s="252" t="s">
        <v>71</v>
      </c>
      <c r="H7" s="252" t="s">
        <v>72</v>
      </c>
      <c r="I7" s="252" t="s">
        <v>73</v>
      </c>
      <c r="J7" s="252" t="s">
        <v>74</v>
      </c>
    </row>
    <row r="8" spans="1:10" ht="15" hidden="1" customHeight="1" x14ac:dyDescent="0.2">
      <c r="A8" s="196" t="s">
        <v>75</v>
      </c>
      <c r="B8" s="254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customHeight="1" x14ac:dyDescent="0.2">
      <c r="A16" s="146" t="s">
        <v>83</v>
      </c>
      <c r="B16" s="147">
        <v>13.4</v>
      </c>
      <c r="C16" s="147">
        <v>13.6</v>
      </c>
      <c r="D16" s="147">
        <v>1.5</v>
      </c>
      <c r="E16" s="148">
        <v>1215.2388059701493</v>
      </c>
      <c r="F16" s="148">
        <v>1215.2352941176471</v>
      </c>
      <c r="G16" s="147">
        <v>0</v>
      </c>
      <c r="H16" s="147">
        <v>16.3</v>
      </c>
      <c r="I16" s="147">
        <v>16.5</v>
      </c>
      <c r="J16" s="147">
        <v>1.2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customHeight="1" x14ac:dyDescent="0.2">
      <c r="A21" s="86" t="s">
        <v>88</v>
      </c>
      <c r="B21" s="87">
        <v>1.4</v>
      </c>
      <c r="C21" s="87">
        <v>1.6</v>
      </c>
      <c r="D21" s="87">
        <v>14.3</v>
      </c>
      <c r="E21" s="88">
        <v>283</v>
      </c>
      <c r="F21" s="88">
        <v>392</v>
      </c>
      <c r="G21" s="87">
        <v>38.5</v>
      </c>
      <c r="H21" s="87">
        <v>0.4</v>
      </c>
      <c r="I21" s="87">
        <v>0.6</v>
      </c>
      <c r="J21" s="87">
        <v>50</v>
      </c>
      <c r="K21" s="126"/>
      <c r="L21" s="126"/>
      <c r="M21" s="126"/>
      <c r="N21" s="126"/>
      <c r="O21" s="126"/>
      <c r="P21" s="126"/>
      <c r="Q21" s="126"/>
      <c r="R21" s="126"/>
      <c r="S21" s="126"/>
      <c r="T21" s="126"/>
    </row>
    <row r="22" spans="1:20" ht="15.75" customHeight="1" x14ac:dyDescent="0.2">
      <c r="A22" s="86" t="s">
        <v>89</v>
      </c>
      <c r="B22" s="87">
        <v>12</v>
      </c>
      <c r="C22" s="87">
        <v>12</v>
      </c>
      <c r="D22" s="87">
        <v>0</v>
      </c>
      <c r="E22" s="88">
        <v>1324</v>
      </c>
      <c r="F22" s="88">
        <v>1325</v>
      </c>
      <c r="G22" s="87">
        <v>0.1</v>
      </c>
      <c r="H22" s="87">
        <v>15.9</v>
      </c>
      <c r="I22" s="87">
        <v>15.9</v>
      </c>
      <c r="J22" s="87">
        <v>0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20" ht="15" customHeight="1" x14ac:dyDescent="0.2">
      <c r="A26" s="146" t="s">
        <v>93</v>
      </c>
      <c r="B26" s="147">
        <v>0.5</v>
      </c>
      <c r="C26" s="147">
        <v>0.5</v>
      </c>
      <c r="D26" s="147">
        <v>0</v>
      </c>
      <c r="E26" s="148">
        <v>2934</v>
      </c>
      <c r="F26" s="148">
        <v>2916</v>
      </c>
      <c r="G26" s="147">
        <v>-0.6</v>
      </c>
      <c r="H26" s="147">
        <v>1.5</v>
      </c>
      <c r="I26" s="147">
        <v>1.5</v>
      </c>
      <c r="J26" s="147">
        <v>0</v>
      </c>
    </row>
    <row r="27" spans="1:20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.75" customHeight="1" x14ac:dyDescent="0.2">
      <c r="A30" s="86" t="s">
        <v>97</v>
      </c>
      <c r="B30" s="87">
        <v>0.5</v>
      </c>
      <c r="C30" s="87">
        <v>0.5</v>
      </c>
      <c r="D30" s="87">
        <v>0</v>
      </c>
      <c r="E30" s="88">
        <v>2934</v>
      </c>
      <c r="F30" s="88">
        <v>2916</v>
      </c>
      <c r="G30" s="87">
        <v>-0.6</v>
      </c>
      <c r="H30" s="87">
        <v>1.5</v>
      </c>
      <c r="I30" s="87">
        <v>1.5</v>
      </c>
      <c r="J30" s="87">
        <v>0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</row>
    <row r="31" spans="1:20" ht="15" customHeight="1" x14ac:dyDescent="0.2">
      <c r="A31" s="146" t="s">
        <v>98</v>
      </c>
      <c r="B31" s="147">
        <v>0.2</v>
      </c>
      <c r="C31" s="147">
        <v>0.2</v>
      </c>
      <c r="D31" s="147">
        <v>0</v>
      </c>
      <c r="E31" s="148">
        <v>646</v>
      </c>
      <c r="F31" s="148">
        <v>829</v>
      </c>
      <c r="G31" s="147">
        <v>28.3</v>
      </c>
      <c r="H31" s="147">
        <v>0.1</v>
      </c>
      <c r="I31" s="147">
        <v>0.2</v>
      </c>
      <c r="J31" s="147">
        <v>100</v>
      </c>
    </row>
    <row r="32" spans="1:20" ht="15.75" customHeight="1" x14ac:dyDescent="0.2">
      <c r="A32" s="86" t="s">
        <v>99</v>
      </c>
      <c r="B32" s="87">
        <v>0.2</v>
      </c>
      <c r="C32" s="87">
        <v>0.2</v>
      </c>
      <c r="D32" s="87">
        <v>0</v>
      </c>
      <c r="E32" s="88">
        <v>646</v>
      </c>
      <c r="F32" s="88">
        <v>829</v>
      </c>
      <c r="G32" s="87">
        <v>28.3</v>
      </c>
      <c r="H32" s="87">
        <v>0.1</v>
      </c>
      <c r="I32" s="87">
        <v>0.2</v>
      </c>
      <c r="J32" s="87">
        <v>100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13.4</v>
      </c>
      <c r="C40" s="147">
        <v>13.6</v>
      </c>
      <c r="D40" s="147">
        <v>1.5</v>
      </c>
      <c r="E40" s="148">
        <v>1215.2388059701493</v>
      </c>
      <c r="F40" s="148">
        <v>1215.2352941176471</v>
      </c>
      <c r="G40" s="147">
        <v>0</v>
      </c>
      <c r="H40" s="147">
        <v>16.3</v>
      </c>
      <c r="I40" s="147">
        <v>16.5</v>
      </c>
      <c r="J40" s="147">
        <v>1.2</v>
      </c>
    </row>
    <row r="41" spans="1:10" ht="15" customHeight="1" x14ac:dyDescent="0.2">
      <c r="A41" s="146" t="s">
        <v>108</v>
      </c>
      <c r="B41" s="147">
        <v>0.7</v>
      </c>
      <c r="C41" s="147">
        <v>0.7</v>
      </c>
      <c r="D41" s="147">
        <v>0</v>
      </c>
      <c r="E41" s="148">
        <v>2280.2857142857147</v>
      </c>
      <c r="F41" s="148">
        <v>2319.7142857142858</v>
      </c>
      <c r="G41" s="147">
        <v>1.7</v>
      </c>
      <c r="H41" s="147">
        <v>1.6</v>
      </c>
      <c r="I41" s="147">
        <v>1.7</v>
      </c>
      <c r="J41" s="147">
        <v>6.3</v>
      </c>
    </row>
    <row r="42" spans="1:10" ht="15" customHeight="1" x14ac:dyDescent="0.2">
      <c r="A42" s="149" t="s">
        <v>58</v>
      </c>
      <c r="B42" s="150">
        <v>14.1</v>
      </c>
      <c r="C42" s="150">
        <v>14.299999999999999</v>
      </c>
      <c r="D42" s="150">
        <v>1.4</v>
      </c>
      <c r="E42" s="151">
        <v>1268.1134751773052</v>
      </c>
      <c r="F42" s="151">
        <v>1269.3006993006993</v>
      </c>
      <c r="G42" s="150">
        <v>0.1</v>
      </c>
      <c r="H42" s="150">
        <v>17.900000000000002</v>
      </c>
      <c r="I42" s="150">
        <v>18.2</v>
      </c>
      <c r="J42" s="150">
        <v>1.7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212</v>
      </c>
      <c r="B44" s="126"/>
      <c r="C44" s="126"/>
      <c r="D44" s="126"/>
      <c r="E44" s="126"/>
      <c r="F44" s="126"/>
      <c r="G44" s="126"/>
      <c r="H44" s="126"/>
      <c r="I44" s="126"/>
      <c r="J44" s="126"/>
    </row>
    <row r="46" spans="1:10" ht="12.75" customHeight="1" x14ac:dyDescent="0.2">
      <c r="I46" s="286"/>
    </row>
    <row r="47" spans="1:10" ht="12.75" customHeight="1" x14ac:dyDescent="0.2">
      <c r="D47" s="127"/>
    </row>
    <row r="49" spans="8:8" ht="12.75" customHeight="1" x14ac:dyDescent="0.2">
      <c r="H49" s="287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20.42578125" style="241" customWidth="1"/>
    <col min="2" max="3" width="11.42578125" style="241" customWidth="1"/>
    <col min="4" max="4" width="9.42578125" style="241" customWidth="1"/>
    <col min="5" max="9" width="11.42578125" style="241" customWidth="1"/>
    <col min="10" max="10" width="11" style="241" customWidth="1"/>
    <col min="11" max="16" width="11.42578125" style="241" customWidth="1"/>
  </cols>
  <sheetData>
    <row r="1" spans="1:20" ht="31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19.5" customHeight="1" x14ac:dyDescent="0.2">
      <c r="A5" s="490" t="s">
        <v>61</v>
      </c>
      <c r="B5" s="469" t="s">
        <v>62</v>
      </c>
      <c r="C5" s="469"/>
      <c r="D5" s="469"/>
      <c r="E5" s="470" t="s">
        <v>63</v>
      </c>
      <c r="F5" s="470"/>
      <c r="G5" s="470"/>
      <c r="H5" s="469" t="s">
        <v>64</v>
      </c>
      <c r="I5" s="469"/>
      <c r="J5" s="469"/>
    </row>
    <row r="6" spans="1:20" ht="19.5" customHeight="1" x14ac:dyDescent="0.2">
      <c r="A6" s="491"/>
      <c r="B6" s="242" t="s">
        <v>2</v>
      </c>
      <c r="C6" s="243" t="s">
        <v>5</v>
      </c>
      <c r="D6" s="243" t="s">
        <v>65</v>
      </c>
      <c r="E6" s="243" t="s">
        <v>2</v>
      </c>
      <c r="F6" s="243" t="s">
        <v>5</v>
      </c>
      <c r="G6" s="243" t="s">
        <v>65</v>
      </c>
      <c r="H6" s="243" t="s">
        <v>2</v>
      </c>
      <c r="I6" s="243" t="s">
        <v>5</v>
      </c>
      <c r="J6" s="244" t="s">
        <v>65</v>
      </c>
    </row>
    <row r="7" spans="1:20" ht="19.5" customHeight="1" x14ac:dyDescent="0.2">
      <c r="A7" s="492"/>
      <c r="B7" s="245" t="s">
        <v>66</v>
      </c>
      <c r="C7" s="246" t="s">
        <v>67</v>
      </c>
      <c r="D7" s="246" t="s">
        <v>68</v>
      </c>
      <c r="E7" s="247" t="s">
        <v>69</v>
      </c>
      <c r="F7" s="248" t="s">
        <v>70</v>
      </c>
      <c r="G7" s="246" t="s">
        <v>71</v>
      </c>
      <c r="H7" s="247" t="s">
        <v>72</v>
      </c>
      <c r="I7" s="247" t="s">
        <v>73</v>
      </c>
      <c r="J7" s="248" t="s">
        <v>74</v>
      </c>
    </row>
    <row r="8" spans="1:20" ht="15" customHeight="1" x14ac:dyDescent="0.2">
      <c r="A8" s="139" t="s">
        <v>75</v>
      </c>
      <c r="B8" s="140">
        <v>16.399999999999999</v>
      </c>
      <c r="C8" s="140">
        <v>13.9</v>
      </c>
      <c r="D8" s="140">
        <v>-15.2</v>
      </c>
      <c r="E8" s="141">
        <v>843.60365853658539</v>
      </c>
      <c r="F8" s="141">
        <v>786.44316546762582</v>
      </c>
      <c r="G8" s="140">
        <v>-6.8</v>
      </c>
      <c r="H8" s="140">
        <v>13.899999999999999</v>
      </c>
      <c r="I8" s="140">
        <v>11</v>
      </c>
      <c r="J8" s="140">
        <v>-20.9</v>
      </c>
    </row>
    <row r="9" spans="1:20" ht="15.75" customHeight="1" x14ac:dyDescent="0.2">
      <c r="A9" s="86" t="s">
        <v>76</v>
      </c>
      <c r="B9" s="87">
        <v>2.7</v>
      </c>
      <c r="C9" s="87">
        <v>0.5</v>
      </c>
      <c r="D9" s="87">
        <v>-81.5</v>
      </c>
      <c r="E9" s="88">
        <v>1212</v>
      </c>
      <c r="F9" s="88">
        <v>1136</v>
      </c>
      <c r="G9" s="87">
        <v>-6.3</v>
      </c>
      <c r="H9" s="87">
        <v>3.3</v>
      </c>
      <c r="I9" s="87">
        <v>0.6</v>
      </c>
      <c r="J9" s="87">
        <v>-81.8</v>
      </c>
      <c r="K9" s="126"/>
      <c r="L9" s="126"/>
      <c r="M9" s="126"/>
      <c r="N9" s="126"/>
      <c r="O9" s="126"/>
      <c r="P9" s="126"/>
      <c r="Q9" s="126"/>
      <c r="R9" s="126"/>
      <c r="S9" s="126"/>
      <c r="T9" s="126"/>
    </row>
    <row r="10" spans="1:20" ht="15" hidden="1" customHeight="1" x14ac:dyDescent="0.2">
      <c r="A10" s="142" t="s">
        <v>77</v>
      </c>
      <c r="B10" s="143">
        <v>0</v>
      </c>
      <c r="C10" s="143">
        <v>0</v>
      </c>
      <c r="D10" s="143"/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" hidden="1" customHeight="1" x14ac:dyDescent="0.2">
      <c r="A11" s="142" t="s">
        <v>78</v>
      </c>
      <c r="B11" s="143">
        <v>0</v>
      </c>
      <c r="C11" s="143">
        <v>0</v>
      </c>
      <c r="D11" s="143"/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" hidden="1" customHeight="1" x14ac:dyDescent="0.2">
      <c r="A12" s="142" t="s">
        <v>79</v>
      </c>
      <c r="B12" s="143">
        <v>0</v>
      </c>
      <c r="C12" s="143">
        <v>0</v>
      </c>
      <c r="D12" s="143"/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0" ht="15" hidden="1" customHeight="1" x14ac:dyDescent="0.2">
      <c r="A13" s="142" t="s">
        <v>80</v>
      </c>
      <c r="B13" s="143">
        <v>0</v>
      </c>
      <c r="C13" s="143">
        <v>0</v>
      </c>
      <c r="D13" s="143"/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.75" customHeight="1" x14ac:dyDescent="0.2">
      <c r="A14" s="86" t="s">
        <v>81</v>
      </c>
      <c r="B14" s="87">
        <v>13.7</v>
      </c>
      <c r="C14" s="87">
        <v>13.4</v>
      </c>
      <c r="D14" s="87">
        <v>-2.2000000000000002</v>
      </c>
      <c r="E14" s="88">
        <v>771</v>
      </c>
      <c r="F14" s="88">
        <v>773.4</v>
      </c>
      <c r="G14" s="87">
        <v>0.3</v>
      </c>
      <c r="H14" s="87">
        <v>10.6</v>
      </c>
      <c r="I14" s="87">
        <v>10.4</v>
      </c>
      <c r="J14" s="87">
        <v>-1.9</v>
      </c>
      <c r="K14" s="126"/>
      <c r="L14" s="126"/>
      <c r="M14" s="126"/>
      <c r="N14" s="126"/>
      <c r="O14" s="126"/>
      <c r="P14" s="126"/>
      <c r="Q14" s="126"/>
      <c r="R14" s="126"/>
      <c r="S14" s="126"/>
      <c r="T14" s="126"/>
    </row>
    <row r="15" spans="1:20" ht="15" hidden="1" customHeight="1" x14ac:dyDescent="0.2">
      <c r="A15" s="142" t="s">
        <v>82</v>
      </c>
      <c r="B15" s="143"/>
      <c r="C15" s="143"/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20" ht="15" customHeight="1" x14ac:dyDescent="0.2">
      <c r="A16" s="146" t="s">
        <v>83</v>
      </c>
      <c r="B16" s="147">
        <v>27.4</v>
      </c>
      <c r="C16" s="147">
        <v>24.299999999999997</v>
      </c>
      <c r="D16" s="147">
        <v>-11.3</v>
      </c>
      <c r="E16" s="148">
        <v>647.978102189781</v>
      </c>
      <c r="F16" s="148">
        <v>563.84362139917698</v>
      </c>
      <c r="G16" s="147">
        <v>-13</v>
      </c>
      <c r="H16" s="147">
        <v>17.7</v>
      </c>
      <c r="I16" s="147">
        <v>13.7</v>
      </c>
      <c r="J16" s="147">
        <v>-22.6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customHeight="1" x14ac:dyDescent="0.2">
      <c r="A22" s="86" t="s">
        <v>89</v>
      </c>
      <c r="B22" s="87">
        <v>20.100000000000001</v>
      </c>
      <c r="C22" s="87">
        <v>18.8</v>
      </c>
      <c r="D22" s="87">
        <v>-6.5</v>
      </c>
      <c r="E22" s="88">
        <v>624</v>
      </c>
      <c r="F22" s="88">
        <v>649</v>
      </c>
      <c r="G22" s="87">
        <v>4</v>
      </c>
      <c r="H22" s="87">
        <v>12.5</v>
      </c>
      <c r="I22" s="87">
        <v>12.2</v>
      </c>
      <c r="J22" s="87">
        <v>-2.4</v>
      </c>
      <c r="K22" s="126"/>
      <c r="L22" s="126"/>
      <c r="M22" s="126"/>
      <c r="N22" s="126"/>
      <c r="O22" s="126"/>
      <c r="P22" s="126"/>
      <c r="Q22" s="126"/>
      <c r="R22" s="126"/>
      <c r="S22" s="126"/>
      <c r="T22" s="126"/>
    </row>
    <row r="23" spans="1:20" ht="15.75" customHeight="1" x14ac:dyDescent="0.2">
      <c r="A23" s="86" t="s">
        <v>90</v>
      </c>
      <c r="B23" s="87">
        <v>2.2000000000000002</v>
      </c>
      <c r="C23" s="87">
        <v>0.4</v>
      </c>
      <c r="D23" s="87">
        <v>-81.8</v>
      </c>
      <c r="E23" s="88">
        <v>969</v>
      </c>
      <c r="F23" s="88">
        <v>461</v>
      </c>
      <c r="G23" s="87">
        <v>-52.4</v>
      </c>
      <c r="H23" s="87">
        <v>2.1</v>
      </c>
      <c r="I23" s="87">
        <v>0.2</v>
      </c>
      <c r="J23" s="87">
        <v>-90.5</v>
      </c>
      <c r="K23" s="126"/>
      <c r="L23" s="126"/>
      <c r="M23" s="126"/>
      <c r="N23" s="126"/>
      <c r="O23" s="126"/>
      <c r="P23" s="126"/>
      <c r="Q23" s="126"/>
      <c r="R23" s="126"/>
      <c r="S23" s="126"/>
      <c r="T23" s="126"/>
    </row>
    <row r="24" spans="1:20" ht="1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customHeight="1" x14ac:dyDescent="0.2">
      <c r="A25" s="86" t="s">
        <v>92</v>
      </c>
      <c r="B25" s="87">
        <v>5.0999999999999996</v>
      </c>
      <c r="C25" s="87">
        <v>5.0999999999999996</v>
      </c>
      <c r="D25" s="87">
        <v>0</v>
      </c>
      <c r="E25" s="88">
        <v>604</v>
      </c>
      <c r="F25" s="88">
        <v>258</v>
      </c>
      <c r="G25" s="87">
        <v>-57.3</v>
      </c>
      <c r="H25" s="87">
        <v>3.1</v>
      </c>
      <c r="I25" s="87">
        <v>1.3</v>
      </c>
      <c r="J25" s="87">
        <v>-58.1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20" ht="1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20" ht="1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2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" customHeight="1" x14ac:dyDescent="0.2">
      <c r="A40" s="146" t="s">
        <v>107</v>
      </c>
      <c r="B40" s="147">
        <v>43.8</v>
      </c>
      <c r="C40" s="147">
        <v>38.199999999999996</v>
      </c>
      <c r="D40" s="147">
        <v>-12.8</v>
      </c>
      <c r="E40" s="148">
        <v>721.22602739726028</v>
      </c>
      <c r="F40" s="148">
        <v>644.84188481675403</v>
      </c>
      <c r="G40" s="147">
        <v>-10.6</v>
      </c>
      <c r="H40" s="147">
        <v>31.599999999999998</v>
      </c>
      <c r="I40" s="147">
        <v>24.7</v>
      </c>
      <c r="J40" s="147">
        <v>-21.8</v>
      </c>
    </row>
    <row r="41" spans="1:10" ht="1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" customHeight="1" x14ac:dyDescent="0.2">
      <c r="A42" s="149" t="s">
        <v>58</v>
      </c>
      <c r="B42" s="150">
        <v>43.8</v>
      </c>
      <c r="C42" s="150">
        <v>38.199999999999996</v>
      </c>
      <c r="D42" s="150">
        <v>-12.8</v>
      </c>
      <c r="E42" s="151">
        <v>721.22602739726028</v>
      </c>
      <c r="F42" s="151">
        <v>644.84188481675403</v>
      </c>
      <c r="G42" s="150">
        <v>-10.6</v>
      </c>
      <c r="H42" s="150">
        <v>31.599999999999998</v>
      </c>
      <c r="I42" s="150">
        <v>24.7</v>
      </c>
      <c r="J42" s="150">
        <v>-21.8</v>
      </c>
    </row>
    <row r="43" spans="1:10" ht="1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" customHeight="1" x14ac:dyDescent="0.2">
      <c r="A44" s="192" t="s">
        <v>212</v>
      </c>
      <c r="B44" s="126"/>
      <c r="C44" s="126"/>
      <c r="D44" s="126"/>
      <c r="E44" s="126"/>
      <c r="F44" s="126"/>
      <c r="G44" s="126"/>
      <c r="H44" s="126"/>
      <c r="J44" s="126"/>
    </row>
    <row r="45" spans="1:10" ht="12.75" customHeight="1" x14ac:dyDescent="0.2">
      <c r="I45" s="278"/>
    </row>
    <row r="47" spans="1:10" ht="12.75" customHeight="1" x14ac:dyDescent="0.2">
      <c r="I47" s="12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1180599999999998" right="0.51180599999999998" top="0.78750000000000009" bottom="0.78750000000000009" header="0.5" footer="0.5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2.42578125" style="1" customWidth="1"/>
    <col min="2" max="3" width="11.42578125" style="1" customWidth="1"/>
    <col min="4" max="4" width="8.42578125" style="1" customWidth="1"/>
    <col min="5" max="6" width="11.42578125" style="1" customWidth="1"/>
    <col min="7" max="7" width="9.42578125" style="1" customWidth="1"/>
    <col min="8" max="16" width="11.42578125" style="1" customWidth="1"/>
  </cols>
  <sheetData>
    <row r="1" spans="1:10" ht="33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7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customHeight="1" x14ac:dyDescent="0.2">
      <c r="A8" s="289" t="s">
        <v>75</v>
      </c>
      <c r="B8" s="140">
        <v>16.7</v>
      </c>
      <c r="C8" s="140">
        <v>14.3</v>
      </c>
      <c r="D8" s="140">
        <v>-14.4</v>
      </c>
      <c r="E8" s="141">
        <v>884.49700598802394</v>
      </c>
      <c r="F8" s="141">
        <v>843.52167832167822</v>
      </c>
      <c r="G8" s="140">
        <v>-4.5999999999999996</v>
      </c>
      <c r="H8" s="140">
        <v>14.799999999999999</v>
      </c>
      <c r="I8" s="140">
        <v>12.1</v>
      </c>
      <c r="J8" s="140">
        <v>-18.2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1136</v>
      </c>
      <c r="G9" s="145">
        <v>-6.3</v>
      </c>
      <c r="H9" s="143">
        <v>3.3</v>
      </c>
      <c r="I9" s="143">
        <v>0.6</v>
      </c>
      <c r="J9" s="143">
        <v>-81.8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13.4</v>
      </c>
      <c r="D14" s="143">
        <v>-2.2000000000000002</v>
      </c>
      <c r="E14" s="144">
        <v>771</v>
      </c>
      <c r="F14" s="144">
        <v>773.4</v>
      </c>
      <c r="G14" s="145">
        <v>0.3</v>
      </c>
      <c r="H14" s="143">
        <v>10.6</v>
      </c>
      <c r="I14" s="143">
        <v>10.4</v>
      </c>
      <c r="J14" s="143">
        <v>-1.9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2826.9999999999995</v>
      </c>
      <c r="G15" s="145">
        <v>-9.4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173.5</v>
      </c>
      <c r="C16" s="147">
        <v>157.69999999999999</v>
      </c>
      <c r="D16" s="147">
        <v>-9.1</v>
      </c>
      <c r="E16" s="148">
        <v>867.75331412103753</v>
      </c>
      <c r="F16" s="148">
        <v>703.62650602409644</v>
      </c>
      <c r="G16" s="147">
        <v>-18.899999999999999</v>
      </c>
      <c r="H16" s="147">
        <v>150.5</v>
      </c>
      <c r="I16" s="147">
        <v>110.89999999999999</v>
      </c>
      <c r="J16" s="147">
        <v>-26.3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1.4</v>
      </c>
      <c r="C21" s="143">
        <v>1.6</v>
      </c>
      <c r="D21" s="143">
        <v>14.3</v>
      </c>
      <c r="E21" s="144">
        <v>283</v>
      </c>
      <c r="F21" s="144">
        <v>392</v>
      </c>
      <c r="G21" s="145">
        <v>38.5</v>
      </c>
      <c r="H21" s="143">
        <v>0.4</v>
      </c>
      <c r="I21" s="143">
        <v>0.6</v>
      </c>
      <c r="J21" s="143">
        <v>50</v>
      </c>
    </row>
    <row r="22" spans="1:10" ht="15.75" customHeight="1" x14ac:dyDescent="0.2">
      <c r="A22" s="142" t="s">
        <v>89</v>
      </c>
      <c r="B22" s="143">
        <v>82.7</v>
      </c>
      <c r="C22" s="143">
        <v>80</v>
      </c>
      <c r="D22" s="143">
        <v>-3.3</v>
      </c>
      <c r="E22" s="144">
        <v>1098.1886336154778</v>
      </c>
      <c r="F22" s="144">
        <v>1116.325</v>
      </c>
      <c r="G22" s="145">
        <v>1.7</v>
      </c>
      <c r="H22" s="143">
        <v>90.8</v>
      </c>
      <c r="I22" s="143">
        <v>89.3</v>
      </c>
      <c r="J22" s="143">
        <v>-1.7</v>
      </c>
    </row>
    <row r="23" spans="1:10" ht="15.75" customHeight="1" x14ac:dyDescent="0.2">
      <c r="A23" s="142" t="s">
        <v>90</v>
      </c>
      <c r="B23" s="143">
        <v>20.599999999999998</v>
      </c>
      <c r="C23" s="143">
        <v>7.3000000000000007</v>
      </c>
      <c r="D23" s="143">
        <v>-64.599999999999994</v>
      </c>
      <c r="E23" s="144">
        <v>617.97087378640788</v>
      </c>
      <c r="F23" s="144">
        <v>415.63013698630135</v>
      </c>
      <c r="G23" s="145">
        <v>-32.700000000000003</v>
      </c>
      <c r="H23" s="143">
        <v>12.7</v>
      </c>
      <c r="I23" s="143">
        <v>3</v>
      </c>
      <c r="J23" s="143">
        <v>-76.400000000000006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263">
        <v>66.399999999999991</v>
      </c>
      <c r="C25" s="263">
        <v>66.399999999999991</v>
      </c>
      <c r="D25" s="263">
        <v>0</v>
      </c>
      <c r="E25" s="264">
        <v>683.39457831325308</v>
      </c>
      <c r="F25" s="264">
        <v>252.46084337349399</v>
      </c>
      <c r="G25" s="290">
        <v>-63.1</v>
      </c>
      <c r="H25" s="263">
        <v>45.4</v>
      </c>
      <c r="I25" s="263">
        <v>16.8</v>
      </c>
      <c r="J25" s="263">
        <v>-63</v>
      </c>
    </row>
    <row r="26" spans="1:10" ht="15.75" customHeight="1" x14ac:dyDescent="0.2">
      <c r="A26" s="146" t="s">
        <v>93</v>
      </c>
      <c r="B26" s="147">
        <v>121.10000000000001</v>
      </c>
      <c r="C26" s="147">
        <v>125.4</v>
      </c>
      <c r="D26" s="147">
        <v>3.6</v>
      </c>
      <c r="E26" s="148">
        <v>2886.4343517753923</v>
      </c>
      <c r="F26" s="148">
        <v>2911.8237639553431</v>
      </c>
      <c r="G26" s="147">
        <v>0.9</v>
      </c>
      <c r="H26" s="147">
        <v>349.6</v>
      </c>
      <c r="I26" s="147">
        <v>365.2</v>
      </c>
      <c r="J26" s="147">
        <v>4.5</v>
      </c>
    </row>
    <row r="27" spans="1:10" ht="15.75" customHeight="1" x14ac:dyDescent="0.2">
      <c r="A27" s="142" t="s">
        <v>94</v>
      </c>
      <c r="B27" s="143">
        <v>57.2</v>
      </c>
      <c r="C27" s="143">
        <v>62.7</v>
      </c>
      <c r="D27" s="143">
        <v>9.6</v>
      </c>
      <c r="E27" s="144">
        <v>2986</v>
      </c>
      <c r="F27" s="144">
        <v>2709</v>
      </c>
      <c r="G27" s="145">
        <v>-9.3000000000000007</v>
      </c>
      <c r="H27" s="143">
        <v>170.8</v>
      </c>
      <c r="I27" s="143">
        <v>169.9</v>
      </c>
      <c r="J27" s="143">
        <v>-0.5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60</v>
      </c>
      <c r="C29" s="143">
        <v>59</v>
      </c>
      <c r="D29" s="143">
        <v>-1.7</v>
      </c>
      <c r="E29" s="144">
        <v>2781</v>
      </c>
      <c r="F29" s="144">
        <v>3120</v>
      </c>
      <c r="G29" s="145">
        <v>12.2</v>
      </c>
      <c r="H29" s="143">
        <v>166.9</v>
      </c>
      <c r="I29" s="143">
        <v>184.1</v>
      </c>
      <c r="J29" s="143">
        <v>10.3</v>
      </c>
    </row>
    <row r="30" spans="1:10" ht="15.75" customHeight="1" x14ac:dyDescent="0.2">
      <c r="A30" s="142" t="s">
        <v>97</v>
      </c>
      <c r="B30" s="143">
        <v>3.9</v>
      </c>
      <c r="C30" s="143">
        <v>3.7</v>
      </c>
      <c r="D30" s="143">
        <v>-5.0999999999999996</v>
      </c>
      <c r="E30" s="144">
        <v>3048.2051282051284</v>
      </c>
      <c r="F30" s="144">
        <v>3029.2972972972971</v>
      </c>
      <c r="G30" s="145">
        <v>-0.6</v>
      </c>
      <c r="H30" s="143">
        <v>11.9</v>
      </c>
      <c r="I30" s="143">
        <v>11.2</v>
      </c>
      <c r="J30" s="143">
        <v>-5.9</v>
      </c>
    </row>
    <row r="31" spans="1:10" ht="15.75" customHeight="1" x14ac:dyDescent="0.2">
      <c r="A31" s="146" t="s">
        <v>98</v>
      </c>
      <c r="B31" s="147">
        <v>72.599999999999994</v>
      </c>
      <c r="C31" s="147">
        <v>77.599999999999994</v>
      </c>
      <c r="D31" s="147">
        <v>6.9</v>
      </c>
      <c r="E31" s="148">
        <v>2042.5247933884298</v>
      </c>
      <c r="F31" s="148">
        <v>2291.0902061855668</v>
      </c>
      <c r="G31" s="147">
        <v>12.2</v>
      </c>
      <c r="H31" s="147">
        <v>148.30000000000001</v>
      </c>
      <c r="I31" s="147">
        <v>177.7</v>
      </c>
      <c r="J31" s="147">
        <v>19.8</v>
      </c>
    </row>
    <row r="32" spans="1:10" ht="15.75" customHeight="1" x14ac:dyDescent="0.2">
      <c r="A32" s="142" t="s">
        <v>99</v>
      </c>
      <c r="B32" s="143">
        <v>57.1</v>
      </c>
      <c r="C32" s="143">
        <v>62.1</v>
      </c>
      <c r="D32" s="143">
        <v>8.8000000000000007</v>
      </c>
      <c r="E32" s="144">
        <v>1914.5411558669</v>
      </c>
      <c r="F32" s="144">
        <v>2237.4492753623185</v>
      </c>
      <c r="G32" s="145">
        <v>16.899999999999999</v>
      </c>
      <c r="H32" s="143">
        <v>109.3</v>
      </c>
      <c r="I32" s="143">
        <v>138.9</v>
      </c>
      <c r="J32" s="143">
        <v>27.1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15.5</v>
      </c>
      <c r="C35" s="143">
        <v>15.5</v>
      </c>
      <c r="D35" s="143">
        <v>0</v>
      </c>
      <c r="E35" s="144">
        <v>2514</v>
      </c>
      <c r="F35" s="144">
        <v>2506</v>
      </c>
      <c r="G35" s="145">
        <v>-0.3</v>
      </c>
      <c r="H35" s="143">
        <v>39</v>
      </c>
      <c r="I35" s="143">
        <v>38.799999999999997</v>
      </c>
      <c r="J35" s="143">
        <v>-0.5</v>
      </c>
    </row>
    <row r="36" spans="1:10" ht="15.75" customHeight="1" x14ac:dyDescent="0.2">
      <c r="A36" s="146" t="s">
        <v>103</v>
      </c>
      <c r="B36" s="147">
        <v>0.5</v>
      </c>
      <c r="C36" s="147">
        <v>0.3</v>
      </c>
      <c r="D36" s="147">
        <v>-40</v>
      </c>
      <c r="E36" s="148">
        <v>978</v>
      </c>
      <c r="F36" s="148">
        <v>1125</v>
      </c>
      <c r="G36" s="147">
        <v>15</v>
      </c>
      <c r="H36" s="147">
        <v>0.5</v>
      </c>
      <c r="I36" s="147">
        <v>0.3</v>
      </c>
      <c r="J36" s="147">
        <v>-40</v>
      </c>
    </row>
    <row r="37" spans="1:10" ht="15.75" customHeight="1" x14ac:dyDescent="0.2">
      <c r="A37" s="142" t="s">
        <v>104</v>
      </c>
      <c r="B37" s="143">
        <v>0.5</v>
      </c>
      <c r="C37" s="143">
        <v>0.3</v>
      </c>
      <c r="D37" s="143">
        <v>-40</v>
      </c>
      <c r="E37" s="144">
        <v>978</v>
      </c>
      <c r="F37" s="144">
        <v>1125</v>
      </c>
      <c r="G37" s="145">
        <v>15</v>
      </c>
      <c r="H37" s="143">
        <v>0.5</v>
      </c>
      <c r="I37" s="143">
        <v>0.3</v>
      </c>
      <c r="J37" s="143">
        <v>-40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190.2</v>
      </c>
      <c r="C40" s="147">
        <v>172</v>
      </c>
      <c r="D40" s="147">
        <v>-9.6</v>
      </c>
      <c r="E40" s="148">
        <v>869.22344900105168</v>
      </c>
      <c r="F40" s="148">
        <v>715.25732558139532</v>
      </c>
      <c r="G40" s="147">
        <v>-17.7</v>
      </c>
      <c r="H40" s="147">
        <v>165.3</v>
      </c>
      <c r="I40" s="147">
        <v>122.99999999999999</v>
      </c>
      <c r="J40" s="147">
        <v>-25.6</v>
      </c>
    </row>
    <row r="41" spans="1:10" ht="15.75" customHeight="1" x14ac:dyDescent="0.2">
      <c r="A41" s="146" t="s">
        <v>108</v>
      </c>
      <c r="B41" s="147">
        <v>194.2</v>
      </c>
      <c r="C41" s="147">
        <v>203.3</v>
      </c>
      <c r="D41" s="147">
        <v>4.7</v>
      </c>
      <c r="E41" s="148">
        <v>2566.0324407826984</v>
      </c>
      <c r="F41" s="148">
        <v>2672.2518445646829</v>
      </c>
      <c r="G41" s="147">
        <v>4.0999999999999996</v>
      </c>
      <c r="H41" s="147">
        <v>498.40000000000003</v>
      </c>
      <c r="I41" s="147">
        <v>543.19999999999993</v>
      </c>
      <c r="J41" s="147">
        <v>9</v>
      </c>
    </row>
    <row r="42" spans="1:10" ht="15.75" customHeight="1" x14ac:dyDescent="0.2">
      <c r="A42" s="220" t="s">
        <v>58</v>
      </c>
      <c r="B42" s="221">
        <v>384.4</v>
      </c>
      <c r="C42" s="221">
        <v>375.3</v>
      </c>
      <c r="D42" s="221">
        <v>-2.4</v>
      </c>
      <c r="E42" s="222">
        <v>1726.4562955254944</v>
      </c>
      <c r="F42" s="222">
        <v>1775.3612043698377</v>
      </c>
      <c r="G42" s="221">
        <v>2.8</v>
      </c>
      <c r="H42" s="221">
        <v>663.7</v>
      </c>
      <c r="I42" s="221">
        <v>666.19999999999993</v>
      </c>
      <c r="J42" s="221">
        <v>0.4</v>
      </c>
    </row>
    <row r="43" spans="1:10" ht="15.75" customHeight="1" x14ac:dyDescent="0.2">
      <c r="A43" s="152" t="s">
        <v>7</v>
      </c>
      <c r="B43" s="153"/>
      <c r="C43" s="291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212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3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1.42578125" style="1" customWidth="1"/>
    <col min="4" max="4" width="9.42578125" style="1" customWidth="1"/>
    <col min="5" max="6" width="11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6" width="11.42578125" style="1" customWidth="1"/>
  </cols>
  <sheetData>
    <row r="1" spans="1:10" ht="39.7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5"/>
      <c r="B7" s="283" t="s">
        <v>66</v>
      </c>
      <c r="C7" s="271" t="s">
        <v>67</v>
      </c>
      <c r="D7" s="269" t="s">
        <v>68</v>
      </c>
      <c r="E7" s="269" t="s">
        <v>69</v>
      </c>
      <c r="F7" s="270" t="s">
        <v>70</v>
      </c>
      <c r="G7" s="271" t="s">
        <v>71</v>
      </c>
      <c r="H7" s="269" t="s">
        <v>72</v>
      </c>
      <c r="I7" s="270" t="s">
        <v>73</v>
      </c>
      <c r="J7" s="270" t="s">
        <v>74</v>
      </c>
    </row>
    <row r="8" spans="1:10" ht="15.75" customHeight="1" x14ac:dyDescent="0.2">
      <c r="A8" s="139" t="s">
        <v>75</v>
      </c>
      <c r="B8" s="140">
        <v>6.3</v>
      </c>
      <c r="C8" s="140">
        <v>5.1000000000000005</v>
      </c>
      <c r="D8" s="140">
        <v>-19</v>
      </c>
      <c r="E8" s="141">
        <v>938.39682539682542</v>
      </c>
      <c r="F8" s="141">
        <v>943.58823529411757</v>
      </c>
      <c r="G8" s="140">
        <v>0.6</v>
      </c>
      <c r="H8" s="140">
        <v>5.9</v>
      </c>
      <c r="I8" s="140">
        <v>4.8000000000000007</v>
      </c>
      <c r="J8" s="140">
        <v>-18.600000000000001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customHeight="1" x14ac:dyDescent="0.2">
      <c r="A10" s="142" t="s">
        <v>77</v>
      </c>
      <c r="B10" s="143">
        <v>2</v>
      </c>
      <c r="C10" s="143">
        <v>1.1000000000000001</v>
      </c>
      <c r="D10" s="143">
        <v>-45</v>
      </c>
      <c r="E10" s="144">
        <v>1060</v>
      </c>
      <c r="F10" s="144">
        <v>1042</v>
      </c>
      <c r="G10" s="145">
        <v>-1.7</v>
      </c>
      <c r="H10" s="143">
        <v>2.1</v>
      </c>
      <c r="I10" s="143">
        <v>1.1000000000000001</v>
      </c>
      <c r="J10" s="143">
        <v>-47.6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957.99999999999989</v>
      </c>
      <c r="G13" s="145">
        <v>5.4</v>
      </c>
      <c r="H13" s="143">
        <v>1</v>
      </c>
      <c r="I13" s="143">
        <v>0.7</v>
      </c>
      <c r="J13" s="143">
        <v>-30</v>
      </c>
    </row>
    <row r="14" spans="1:10" ht="15.75" customHeight="1" x14ac:dyDescent="0.2">
      <c r="A14" s="142" t="s">
        <v>81</v>
      </c>
      <c r="B14" s="143">
        <v>2.9</v>
      </c>
      <c r="C14" s="143">
        <v>2.9</v>
      </c>
      <c r="D14" s="143">
        <v>0</v>
      </c>
      <c r="E14" s="144">
        <v>640</v>
      </c>
      <c r="F14" s="144">
        <v>643</v>
      </c>
      <c r="G14" s="145">
        <v>0.5</v>
      </c>
      <c r="H14" s="143">
        <v>1.9</v>
      </c>
      <c r="I14" s="143">
        <v>1.9</v>
      </c>
      <c r="J14" s="143">
        <v>0</v>
      </c>
    </row>
    <row r="15" spans="1:10" ht="15.75" customHeight="1" x14ac:dyDescent="0.2">
      <c r="A15" s="142" t="s">
        <v>82</v>
      </c>
      <c r="B15" s="143">
        <v>0.3</v>
      </c>
      <c r="C15" s="143">
        <v>0.4</v>
      </c>
      <c r="D15" s="143">
        <v>33.299999999999997</v>
      </c>
      <c r="E15" s="144">
        <v>3120</v>
      </c>
      <c r="F15" s="144">
        <v>2826.9999999999995</v>
      </c>
      <c r="G15" s="145">
        <v>-9.4</v>
      </c>
      <c r="H15" s="143">
        <v>0.9</v>
      </c>
      <c r="I15" s="143">
        <v>1.1000000000000001</v>
      </c>
      <c r="J15" s="143">
        <v>22.2</v>
      </c>
    </row>
    <row r="16" spans="1:10" ht="15.75" customHeight="1" x14ac:dyDescent="0.2">
      <c r="A16" s="146" t="s">
        <v>83</v>
      </c>
      <c r="B16" s="147">
        <v>260.2</v>
      </c>
      <c r="C16" s="147">
        <v>243.40000000000003</v>
      </c>
      <c r="D16" s="147">
        <v>-6.5</v>
      </c>
      <c r="E16" s="148">
        <v>862.63643351268263</v>
      </c>
      <c r="F16" s="148">
        <v>1015.0143796220214</v>
      </c>
      <c r="G16" s="147">
        <v>17.7</v>
      </c>
      <c r="H16" s="147">
        <v>224.5</v>
      </c>
      <c r="I16" s="147">
        <v>246.90000000000003</v>
      </c>
      <c r="J16" s="147">
        <v>10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customHeight="1" x14ac:dyDescent="0.2">
      <c r="A19" s="142" t="s">
        <v>86</v>
      </c>
      <c r="B19" s="143">
        <v>6.1</v>
      </c>
      <c r="C19" s="143">
        <v>5.8</v>
      </c>
      <c r="D19" s="143">
        <v>-4.9000000000000004</v>
      </c>
      <c r="E19" s="144">
        <v>339.00000000000006</v>
      </c>
      <c r="F19" s="144">
        <v>484</v>
      </c>
      <c r="G19" s="145">
        <v>42.8</v>
      </c>
      <c r="H19" s="143">
        <v>2.1</v>
      </c>
      <c r="I19" s="143">
        <v>2.8</v>
      </c>
      <c r="J19" s="143">
        <v>33.299999999999997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26.3</v>
      </c>
      <c r="C21" s="143">
        <v>19.399999999999999</v>
      </c>
      <c r="D21" s="143">
        <v>-26.2</v>
      </c>
      <c r="E21" s="144">
        <v>296</v>
      </c>
      <c r="F21" s="144">
        <v>355</v>
      </c>
      <c r="G21" s="145">
        <v>19.899999999999999</v>
      </c>
      <c r="H21" s="143">
        <v>7.8</v>
      </c>
      <c r="I21" s="143">
        <v>6.9</v>
      </c>
      <c r="J21" s="143">
        <v>-11.5</v>
      </c>
    </row>
    <row r="22" spans="1:10" ht="15.75" customHeight="1" x14ac:dyDescent="0.2">
      <c r="A22" s="142" t="s">
        <v>89</v>
      </c>
      <c r="B22" s="143">
        <v>52.4</v>
      </c>
      <c r="C22" s="143">
        <v>50.400000000000006</v>
      </c>
      <c r="D22" s="143">
        <v>-3.8</v>
      </c>
      <c r="E22" s="144">
        <v>1206.0343511450383</v>
      </c>
      <c r="F22" s="144">
        <v>1228.2619047619046</v>
      </c>
      <c r="G22" s="145">
        <v>1.8</v>
      </c>
      <c r="H22" s="143">
        <v>63.199999999999996</v>
      </c>
      <c r="I22" s="143">
        <v>61.900000000000006</v>
      </c>
      <c r="J22" s="143">
        <v>-2.1</v>
      </c>
    </row>
    <row r="23" spans="1:10" ht="15.75" customHeight="1" x14ac:dyDescent="0.2">
      <c r="A23" s="142" t="s">
        <v>90</v>
      </c>
      <c r="B23" s="143">
        <v>18.399999999999999</v>
      </c>
      <c r="C23" s="143">
        <v>6.9</v>
      </c>
      <c r="D23" s="143">
        <v>-62.5</v>
      </c>
      <c r="E23" s="144">
        <v>576</v>
      </c>
      <c r="F23" s="144">
        <v>413</v>
      </c>
      <c r="G23" s="145">
        <v>-28.3</v>
      </c>
      <c r="H23" s="143">
        <v>10.6</v>
      </c>
      <c r="I23" s="143">
        <v>2.8</v>
      </c>
      <c r="J23" s="143">
        <v>-73.599999999999994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143">
        <v>154.6</v>
      </c>
      <c r="C25" s="143">
        <v>158.5</v>
      </c>
      <c r="D25" s="143">
        <v>2.5</v>
      </c>
      <c r="E25" s="144">
        <v>902.84282018111253</v>
      </c>
      <c r="F25" s="144">
        <v>1081.2302839116721</v>
      </c>
      <c r="G25" s="145">
        <v>19.8</v>
      </c>
      <c r="H25" s="143">
        <v>139.6</v>
      </c>
      <c r="I25" s="143">
        <v>171.3</v>
      </c>
      <c r="J25" s="143">
        <v>22.7</v>
      </c>
    </row>
    <row r="26" spans="1:10" ht="15.75" customHeight="1" x14ac:dyDescent="0.2">
      <c r="A26" s="146" t="s">
        <v>93</v>
      </c>
      <c r="B26" s="147">
        <v>200.4</v>
      </c>
      <c r="C26" s="147">
        <v>199.8</v>
      </c>
      <c r="D26" s="147">
        <v>-0.3</v>
      </c>
      <c r="E26" s="148">
        <v>2594.4181636726548</v>
      </c>
      <c r="F26" s="148">
        <v>2621.6476476476478</v>
      </c>
      <c r="G26" s="147">
        <v>1</v>
      </c>
      <c r="H26" s="147">
        <v>519.9</v>
      </c>
      <c r="I26" s="147">
        <v>523.9</v>
      </c>
      <c r="J26" s="147">
        <v>0.8</v>
      </c>
    </row>
    <row r="27" spans="1:10" ht="15.75" customHeight="1" x14ac:dyDescent="0.2">
      <c r="A27" s="142" t="s">
        <v>94</v>
      </c>
      <c r="B27" s="143">
        <v>78.3</v>
      </c>
      <c r="C27" s="143">
        <v>82.300000000000011</v>
      </c>
      <c r="D27" s="143">
        <v>5.0999999999999996</v>
      </c>
      <c r="E27" s="144">
        <v>2639.8837803320566</v>
      </c>
      <c r="F27" s="144">
        <v>2471.4398541919804</v>
      </c>
      <c r="G27" s="145">
        <v>-6.4</v>
      </c>
      <c r="H27" s="143">
        <v>206.70000000000002</v>
      </c>
      <c r="I27" s="143">
        <v>203.5</v>
      </c>
      <c r="J27" s="143">
        <v>-1.5</v>
      </c>
    </row>
    <row r="28" spans="1:10" ht="15.75" customHeight="1" x14ac:dyDescent="0.2">
      <c r="A28" s="142" t="s">
        <v>95</v>
      </c>
      <c r="B28" s="143">
        <v>5.7</v>
      </c>
      <c r="C28" s="143">
        <v>7.3</v>
      </c>
      <c r="D28" s="143">
        <v>28.1</v>
      </c>
      <c r="E28" s="144">
        <v>1775</v>
      </c>
      <c r="F28" s="144">
        <v>1621</v>
      </c>
      <c r="G28" s="145">
        <v>-8.6999999999999993</v>
      </c>
      <c r="H28" s="143">
        <v>10.1</v>
      </c>
      <c r="I28" s="143">
        <v>11.8</v>
      </c>
      <c r="J28" s="143">
        <v>16.8</v>
      </c>
    </row>
    <row r="29" spans="1:10" ht="15.75" customHeight="1" x14ac:dyDescent="0.2">
      <c r="A29" s="142" t="s">
        <v>96</v>
      </c>
      <c r="B29" s="143">
        <v>103</v>
      </c>
      <c r="C29" s="143">
        <v>97</v>
      </c>
      <c r="D29" s="143">
        <v>-5.8</v>
      </c>
      <c r="E29" s="144">
        <v>2596.8932038834951</v>
      </c>
      <c r="F29" s="144">
        <v>2821.8762886597938</v>
      </c>
      <c r="G29" s="145">
        <v>8.6999999999999993</v>
      </c>
      <c r="H29" s="143">
        <v>267.5</v>
      </c>
      <c r="I29" s="143">
        <v>273.7</v>
      </c>
      <c r="J29" s="143">
        <v>2.2999999999999998</v>
      </c>
    </row>
    <row r="30" spans="1:10" ht="15.75" customHeight="1" x14ac:dyDescent="0.2">
      <c r="A30" s="142" t="s">
        <v>97</v>
      </c>
      <c r="B30" s="143">
        <v>13.4</v>
      </c>
      <c r="C30" s="143">
        <v>13.2</v>
      </c>
      <c r="D30" s="143">
        <v>-1.5</v>
      </c>
      <c r="E30" s="144">
        <v>2658.2835820895521</v>
      </c>
      <c r="F30" s="144">
        <v>2640.1818181818185</v>
      </c>
      <c r="G30" s="145">
        <v>-0.7</v>
      </c>
      <c r="H30" s="143">
        <v>35.6</v>
      </c>
      <c r="I30" s="143">
        <v>34.900000000000006</v>
      </c>
      <c r="J30" s="143">
        <v>-2</v>
      </c>
    </row>
    <row r="31" spans="1:10" ht="15.75" customHeight="1" x14ac:dyDescent="0.2">
      <c r="A31" s="146" t="s">
        <v>98</v>
      </c>
      <c r="B31" s="147">
        <v>345.1</v>
      </c>
      <c r="C31" s="147">
        <v>362.9</v>
      </c>
      <c r="D31" s="147">
        <v>5.2</v>
      </c>
      <c r="E31" s="148">
        <v>1821.8220805563606</v>
      </c>
      <c r="F31" s="148">
        <v>1920.9641774593554</v>
      </c>
      <c r="G31" s="147">
        <v>5.4</v>
      </c>
      <c r="H31" s="147">
        <v>628.70000000000005</v>
      </c>
      <c r="I31" s="147">
        <v>697.19999999999993</v>
      </c>
      <c r="J31" s="147">
        <v>10.9</v>
      </c>
    </row>
    <row r="32" spans="1:10" ht="15.75" customHeight="1" x14ac:dyDescent="0.2">
      <c r="A32" s="142" t="s">
        <v>99</v>
      </c>
      <c r="B32" s="143">
        <v>258.8</v>
      </c>
      <c r="C32" s="143">
        <v>276.7</v>
      </c>
      <c r="D32" s="143">
        <v>6.9</v>
      </c>
      <c r="E32" s="144">
        <v>1711.5896445131375</v>
      </c>
      <c r="F32" s="144">
        <v>1826.9739790386702</v>
      </c>
      <c r="G32" s="145">
        <v>6.7</v>
      </c>
      <c r="H32" s="143">
        <v>442.9</v>
      </c>
      <c r="I32" s="143">
        <v>505.59999999999997</v>
      </c>
      <c r="J32" s="143">
        <v>14.2</v>
      </c>
    </row>
    <row r="33" spans="1:10" ht="15.75" customHeight="1" x14ac:dyDescent="0.2">
      <c r="A33" s="142" t="s">
        <v>100</v>
      </c>
      <c r="B33" s="143">
        <v>8.5</v>
      </c>
      <c r="C33" s="143">
        <v>8.3999999999999986</v>
      </c>
      <c r="D33" s="143">
        <v>-1.2</v>
      </c>
      <c r="E33" s="144">
        <v>1056.3999999999999</v>
      </c>
      <c r="F33" s="144">
        <v>1138.214285714286</v>
      </c>
      <c r="G33" s="145">
        <v>7.7</v>
      </c>
      <c r="H33" s="143">
        <v>9</v>
      </c>
      <c r="I33" s="143">
        <v>9.6</v>
      </c>
      <c r="J33" s="143">
        <v>6.7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156.39999999999998</v>
      </c>
      <c r="C36" s="147">
        <v>132</v>
      </c>
      <c r="D36" s="147">
        <v>-15.6</v>
      </c>
      <c r="E36" s="148">
        <v>1723.8132992327367</v>
      </c>
      <c r="F36" s="148">
        <v>1584.7515151515152</v>
      </c>
      <c r="G36" s="147">
        <v>-8.1</v>
      </c>
      <c r="H36" s="147">
        <v>269.60000000000002</v>
      </c>
      <c r="I36" s="147">
        <v>209.20000000000005</v>
      </c>
      <c r="J36" s="147">
        <v>-22.4</v>
      </c>
    </row>
    <row r="37" spans="1:10" ht="15.75" customHeight="1" x14ac:dyDescent="0.2">
      <c r="A37" s="142" t="s">
        <v>104</v>
      </c>
      <c r="B37" s="143">
        <v>137.89999999999998</v>
      </c>
      <c r="C37" s="143">
        <v>116.6</v>
      </c>
      <c r="D37" s="143">
        <v>-15.4</v>
      </c>
      <c r="E37" s="144">
        <v>1666.4945612762872</v>
      </c>
      <c r="F37" s="144">
        <v>1548.8610634648371</v>
      </c>
      <c r="G37" s="145">
        <v>-7.1</v>
      </c>
      <c r="H37" s="143">
        <v>229.9</v>
      </c>
      <c r="I37" s="143">
        <v>180.60000000000002</v>
      </c>
      <c r="J37" s="143">
        <v>-21.4</v>
      </c>
    </row>
    <row r="38" spans="1:10" ht="15.75" customHeight="1" x14ac:dyDescent="0.2">
      <c r="A38" s="142" t="s">
        <v>105</v>
      </c>
      <c r="B38" s="143">
        <v>11.3</v>
      </c>
      <c r="C38" s="143">
        <v>9.1</v>
      </c>
      <c r="D38" s="143">
        <v>-19.5</v>
      </c>
      <c r="E38" s="144">
        <v>1989.9115044247787</v>
      </c>
      <c r="F38" s="144">
        <v>1895.6043956043957</v>
      </c>
      <c r="G38" s="145">
        <v>-4.7</v>
      </c>
      <c r="H38" s="143">
        <v>22.4</v>
      </c>
      <c r="I38" s="143">
        <v>17.3</v>
      </c>
      <c r="J38" s="143">
        <v>-22.8</v>
      </c>
    </row>
    <row r="39" spans="1:10" ht="15.75" customHeight="1" x14ac:dyDescent="0.2">
      <c r="A39" s="142" t="s">
        <v>106</v>
      </c>
      <c r="B39" s="143">
        <v>7.2</v>
      </c>
      <c r="C39" s="143">
        <v>6.3</v>
      </c>
      <c r="D39" s="143">
        <v>-12.5</v>
      </c>
      <c r="E39" s="144">
        <v>2404</v>
      </c>
      <c r="F39" s="144">
        <v>1800</v>
      </c>
      <c r="G39" s="145">
        <v>-25.1</v>
      </c>
      <c r="H39" s="143">
        <v>17.3</v>
      </c>
      <c r="I39" s="143">
        <v>11.3</v>
      </c>
      <c r="J39" s="143">
        <v>-34.700000000000003</v>
      </c>
    </row>
    <row r="40" spans="1:10" ht="15.75" customHeight="1" x14ac:dyDescent="0.2">
      <c r="A40" s="146" t="s">
        <v>107</v>
      </c>
      <c r="B40" s="147">
        <v>266.5</v>
      </c>
      <c r="C40" s="147">
        <v>248.50000000000003</v>
      </c>
      <c r="D40" s="147">
        <v>-6.8</v>
      </c>
      <c r="E40" s="148">
        <v>864.42739212007507</v>
      </c>
      <c r="F40" s="148">
        <v>1013.548490945674</v>
      </c>
      <c r="G40" s="147">
        <v>17.3</v>
      </c>
      <c r="H40" s="147">
        <v>230.4</v>
      </c>
      <c r="I40" s="147">
        <v>251.70000000000005</v>
      </c>
      <c r="J40" s="147">
        <v>9.1999999999999993</v>
      </c>
    </row>
    <row r="41" spans="1:10" ht="15.75" customHeight="1" x14ac:dyDescent="0.2">
      <c r="A41" s="146" t="s">
        <v>108</v>
      </c>
      <c r="B41" s="147">
        <v>701.9</v>
      </c>
      <c r="C41" s="147">
        <v>694.7</v>
      </c>
      <c r="D41" s="147">
        <v>-1</v>
      </c>
      <c r="E41" s="148">
        <v>2020.5678871634138</v>
      </c>
      <c r="F41" s="148">
        <v>2058.6012667338418</v>
      </c>
      <c r="G41" s="147">
        <v>1.9</v>
      </c>
      <c r="H41" s="147">
        <v>1418.1999999999998</v>
      </c>
      <c r="I41" s="147">
        <v>1430.3</v>
      </c>
      <c r="J41" s="147">
        <v>0.9</v>
      </c>
    </row>
    <row r="42" spans="1:10" ht="15.75" customHeight="1" x14ac:dyDescent="0.2">
      <c r="A42" s="220" t="s">
        <v>58</v>
      </c>
      <c r="B42" s="221">
        <v>968.4</v>
      </c>
      <c r="C42" s="221">
        <v>943.2</v>
      </c>
      <c r="D42" s="221">
        <v>-2.6</v>
      </c>
      <c r="E42" s="222">
        <v>1702.4024163568774</v>
      </c>
      <c r="F42" s="222">
        <v>1783.2666454622561</v>
      </c>
      <c r="G42" s="221">
        <v>4.8</v>
      </c>
      <c r="H42" s="221">
        <v>1648.6</v>
      </c>
      <c r="I42" s="221">
        <v>1682</v>
      </c>
      <c r="J42" s="221">
        <v>2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212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3.42578125" style="1" customWidth="1"/>
    <col min="2" max="3" width="13.42578125" style="1" customWidth="1"/>
    <col min="4" max="4" width="10.42578125" style="1" customWidth="1"/>
    <col min="5" max="5" width="12.42578125" style="1" customWidth="1"/>
    <col min="6" max="6" width="13.42578125" style="1" customWidth="1"/>
    <col min="7" max="7" width="9.42578125" style="1" customWidth="1"/>
    <col min="8" max="9" width="11.42578125" style="1" customWidth="1"/>
    <col min="10" max="10" width="9.42578125" style="1" customWidth="1"/>
    <col min="11" max="16" width="11.42578125" style="1" customWidth="1"/>
  </cols>
  <sheetData>
    <row r="1" spans="1:10" ht="35.2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6" t="s">
        <v>2</v>
      </c>
      <c r="C6" s="266" t="s">
        <v>5</v>
      </c>
      <c r="D6" s="266" t="s">
        <v>65</v>
      </c>
      <c r="E6" s="266" t="s">
        <v>2</v>
      </c>
      <c r="F6" s="266" t="s">
        <v>5</v>
      </c>
      <c r="G6" s="266" t="s">
        <v>65</v>
      </c>
      <c r="H6" s="266" t="s">
        <v>2</v>
      </c>
      <c r="I6" s="266" t="s">
        <v>5</v>
      </c>
      <c r="J6" s="266" t="s">
        <v>65</v>
      </c>
    </row>
    <row r="7" spans="1:10" ht="20.25" customHeight="1" x14ac:dyDescent="0.2">
      <c r="A7" s="487"/>
      <c r="B7" s="288" t="s">
        <v>66</v>
      </c>
      <c r="C7" s="266" t="s">
        <v>67</v>
      </c>
      <c r="D7" s="266" t="s">
        <v>68</v>
      </c>
      <c r="E7" s="266" t="s">
        <v>69</v>
      </c>
      <c r="F7" s="266" t="s">
        <v>70</v>
      </c>
      <c r="G7" s="266" t="s">
        <v>71</v>
      </c>
      <c r="H7" s="266" t="s">
        <v>72</v>
      </c>
      <c r="I7" s="266" t="s">
        <v>73</v>
      </c>
      <c r="J7" s="266" t="s">
        <v>74</v>
      </c>
    </row>
    <row r="8" spans="1:10" ht="15.7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.7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205">
        <v>0</v>
      </c>
      <c r="F15" s="205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.75" customHeight="1" x14ac:dyDescent="0.2">
      <c r="A16" s="146" t="s">
        <v>83</v>
      </c>
      <c r="B16" s="147">
        <v>14.8</v>
      </c>
      <c r="C16" s="147">
        <v>14.8</v>
      </c>
      <c r="D16" s="147">
        <v>0</v>
      </c>
      <c r="E16" s="148">
        <v>1131.6891891891892</v>
      </c>
      <c r="F16" s="148">
        <v>1150.6756756756756</v>
      </c>
      <c r="G16" s="147">
        <v>1.7</v>
      </c>
      <c r="H16" s="147">
        <v>16.8</v>
      </c>
      <c r="I16" s="147">
        <v>17</v>
      </c>
      <c r="J16" s="147">
        <v>1.2</v>
      </c>
    </row>
    <row r="17" spans="1:1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1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1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1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10" ht="15.75" customHeight="1" x14ac:dyDescent="0.2">
      <c r="A21" s="142" t="s">
        <v>88</v>
      </c>
      <c r="B21" s="143">
        <v>2.8</v>
      </c>
      <c r="C21" s="143">
        <v>2.8</v>
      </c>
      <c r="D21" s="143">
        <v>0</v>
      </c>
      <c r="E21" s="144">
        <v>307.5</v>
      </c>
      <c r="F21" s="144">
        <v>403.57142857142861</v>
      </c>
      <c r="G21" s="145">
        <v>31.2</v>
      </c>
      <c r="H21" s="143">
        <v>0.9</v>
      </c>
      <c r="I21" s="143">
        <v>1.1000000000000001</v>
      </c>
      <c r="J21" s="143">
        <v>22.2</v>
      </c>
    </row>
    <row r="22" spans="1:10" ht="15.75" customHeight="1" x14ac:dyDescent="0.2">
      <c r="A22" s="142" t="s">
        <v>89</v>
      </c>
      <c r="B22" s="143">
        <v>12</v>
      </c>
      <c r="C22" s="143">
        <v>12</v>
      </c>
      <c r="D22" s="143">
        <v>0</v>
      </c>
      <c r="E22" s="144">
        <v>1324</v>
      </c>
      <c r="F22" s="144">
        <v>1325</v>
      </c>
      <c r="G22" s="145">
        <v>0.1</v>
      </c>
      <c r="H22" s="143">
        <v>15.9</v>
      </c>
      <c r="I22" s="143">
        <v>15.9</v>
      </c>
      <c r="J22" s="143">
        <v>0</v>
      </c>
    </row>
    <row r="23" spans="1:1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10" ht="15.75" customHeight="1" x14ac:dyDescent="0.2">
      <c r="A26" s="146" t="s">
        <v>93</v>
      </c>
      <c r="B26" s="147">
        <v>1.5</v>
      </c>
      <c r="C26" s="147">
        <v>1.5</v>
      </c>
      <c r="D26" s="147">
        <v>0</v>
      </c>
      <c r="E26" s="148">
        <v>2253.3333333333335</v>
      </c>
      <c r="F26" s="148">
        <v>2242</v>
      </c>
      <c r="G26" s="147">
        <v>-0.5</v>
      </c>
      <c r="H26" s="147">
        <v>3.4</v>
      </c>
      <c r="I26" s="147">
        <v>3.4</v>
      </c>
      <c r="J26" s="147">
        <v>0</v>
      </c>
    </row>
    <row r="27" spans="1:1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10" ht="15.75" customHeight="1" x14ac:dyDescent="0.2">
      <c r="A30" s="142" t="s">
        <v>97</v>
      </c>
      <c r="B30" s="143">
        <v>1.5</v>
      </c>
      <c r="C30" s="143">
        <v>1.5</v>
      </c>
      <c r="D30" s="143">
        <v>0</v>
      </c>
      <c r="E30" s="144">
        <v>2253.3333333333335</v>
      </c>
      <c r="F30" s="144">
        <v>2242</v>
      </c>
      <c r="G30" s="145">
        <v>-0.5</v>
      </c>
      <c r="H30" s="143">
        <v>3.4</v>
      </c>
      <c r="I30" s="143">
        <v>3.4</v>
      </c>
      <c r="J30" s="143">
        <v>0</v>
      </c>
    </row>
    <row r="31" spans="1:10" ht="15.75" customHeight="1" x14ac:dyDescent="0.2">
      <c r="A31" s="146" t="s">
        <v>98</v>
      </c>
      <c r="B31" s="147">
        <v>14.7</v>
      </c>
      <c r="C31" s="147">
        <v>14.5</v>
      </c>
      <c r="D31" s="147">
        <v>-1.4</v>
      </c>
      <c r="E31" s="148">
        <v>904.36054421768711</v>
      </c>
      <c r="F31" s="148">
        <v>964.5241379310346</v>
      </c>
      <c r="G31" s="147">
        <v>6.7</v>
      </c>
      <c r="H31" s="147">
        <v>13.3</v>
      </c>
      <c r="I31" s="147">
        <v>14</v>
      </c>
      <c r="J31" s="147">
        <v>5.3</v>
      </c>
    </row>
    <row r="32" spans="1:10" ht="15.75" customHeight="1" x14ac:dyDescent="0.2">
      <c r="A32" s="142" t="s">
        <v>99</v>
      </c>
      <c r="B32" s="143">
        <v>13.7</v>
      </c>
      <c r="C32" s="143">
        <v>13.8</v>
      </c>
      <c r="D32" s="143">
        <v>0.7</v>
      </c>
      <c r="E32" s="144">
        <v>871.51094890510956</v>
      </c>
      <c r="F32" s="144">
        <v>957.34782608695662</v>
      </c>
      <c r="G32" s="145">
        <v>9.8000000000000007</v>
      </c>
      <c r="H32" s="143">
        <v>11.9</v>
      </c>
      <c r="I32" s="143">
        <v>13.2</v>
      </c>
      <c r="J32" s="143">
        <v>10.9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customHeight="1" x14ac:dyDescent="0.2">
      <c r="A34" s="142" t="s">
        <v>101</v>
      </c>
      <c r="B34" s="143">
        <v>1</v>
      </c>
      <c r="C34" s="143">
        <v>0.7</v>
      </c>
      <c r="D34" s="143">
        <v>-30</v>
      </c>
      <c r="E34" s="144">
        <v>1354.3999999999999</v>
      </c>
      <c r="F34" s="144">
        <v>1106.0000000000002</v>
      </c>
      <c r="G34" s="145">
        <v>-18.3</v>
      </c>
      <c r="H34" s="143">
        <v>1.4000000000000001</v>
      </c>
      <c r="I34" s="143">
        <v>0.8</v>
      </c>
      <c r="J34" s="143">
        <v>-42.9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customHeight="1" x14ac:dyDescent="0.2">
      <c r="A36" s="146" t="s">
        <v>103</v>
      </c>
      <c r="B36" s="147">
        <v>438.7</v>
      </c>
      <c r="C36" s="147">
        <v>284.20000000000005</v>
      </c>
      <c r="D36" s="147">
        <v>-35.200000000000003</v>
      </c>
      <c r="E36" s="148">
        <v>1772.8206063369043</v>
      </c>
      <c r="F36" s="148">
        <v>1594.4556650246302</v>
      </c>
      <c r="G36" s="147">
        <v>-10.1</v>
      </c>
      <c r="H36" s="147">
        <v>777.8</v>
      </c>
      <c r="I36" s="147">
        <v>453.1</v>
      </c>
      <c r="J36" s="147">
        <v>-41.7</v>
      </c>
    </row>
    <row r="37" spans="1:10" ht="15.75" customHeight="1" x14ac:dyDescent="0.2">
      <c r="A37" s="142" t="s">
        <v>104</v>
      </c>
      <c r="B37" s="143">
        <v>353.8</v>
      </c>
      <c r="C37" s="143">
        <v>215.10000000000002</v>
      </c>
      <c r="D37" s="143">
        <v>-39.200000000000003</v>
      </c>
      <c r="E37" s="144">
        <v>1783.1902204635385</v>
      </c>
      <c r="F37" s="144">
        <v>1559.6768944676892</v>
      </c>
      <c r="G37" s="145">
        <v>-12.5</v>
      </c>
      <c r="H37" s="143">
        <v>630.9</v>
      </c>
      <c r="I37" s="143">
        <v>335.5</v>
      </c>
      <c r="J37" s="143">
        <v>-46.8</v>
      </c>
    </row>
    <row r="38" spans="1:10" ht="15.75" customHeight="1" x14ac:dyDescent="0.2">
      <c r="A38" s="142" t="s">
        <v>105</v>
      </c>
      <c r="B38" s="143">
        <v>49.7</v>
      </c>
      <c r="C38" s="143">
        <v>42.1</v>
      </c>
      <c r="D38" s="143">
        <v>-15.3</v>
      </c>
      <c r="E38" s="144">
        <v>1824.0643863179073</v>
      </c>
      <c r="F38" s="144">
        <v>1841.0926365795724</v>
      </c>
      <c r="G38" s="145">
        <v>0.9</v>
      </c>
      <c r="H38" s="143">
        <v>90.699999999999989</v>
      </c>
      <c r="I38" s="143">
        <v>77.5</v>
      </c>
      <c r="J38" s="143">
        <v>-14.6</v>
      </c>
    </row>
    <row r="39" spans="1:10" ht="15.75" customHeight="1" x14ac:dyDescent="0.2">
      <c r="A39" s="142" t="s">
        <v>106</v>
      </c>
      <c r="B39" s="143">
        <v>35.200000000000003</v>
      </c>
      <c r="C39" s="143">
        <v>27</v>
      </c>
      <c r="D39" s="143">
        <v>-23.3</v>
      </c>
      <c r="E39" s="144">
        <v>1596.241477272727</v>
      </c>
      <c r="F39" s="144">
        <v>1486.9555555555557</v>
      </c>
      <c r="G39" s="145">
        <v>-6.8</v>
      </c>
      <c r="H39" s="143">
        <v>56.2</v>
      </c>
      <c r="I39" s="143">
        <v>40.1</v>
      </c>
      <c r="J39" s="143">
        <v>-28.6</v>
      </c>
    </row>
    <row r="40" spans="1:10" ht="15.75" customHeight="1" x14ac:dyDescent="0.2">
      <c r="A40" s="146" t="s">
        <v>107</v>
      </c>
      <c r="B40" s="147">
        <v>14.8</v>
      </c>
      <c r="C40" s="147">
        <v>14.8</v>
      </c>
      <c r="D40" s="147">
        <v>0</v>
      </c>
      <c r="E40" s="148">
        <v>1131.6891891891892</v>
      </c>
      <c r="F40" s="148">
        <v>1150.6756756756756</v>
      </c>
      <c r="G40" s="147">
        <v>1.7</v>
      </c>
      <c r="H40" s="147">
        <v>16.8</v>
      </c>
      <c r="I40" s="147">
        <v>17</v>
      </c>
      <c r="J40" s="147">
        <v>1.2</v>
      </c>
    </row>
    <row r="41" spans="1:10" ht="15.75" customHeight="1" x14ac:dyDescent="0.2">
      <c r="A41" s="146" t="s">
        <v>108</v>
      </c>
      <c r="B41" s="147">
        <v>454.9</v>
      </c>
      <c r="C41" s="147">
        <v>300.20000000000005</v>
      </c>
      <c r="D41" s="147">
        <v>-34</v>
      </c>
      <c r="E41" s="148">
        <v>1746.3409540558364</v>
      </c>
      <c r="F41" s="148">
        <v>1567.2648234510323</v>
      </c>
      <c r="G41" s="147">
        <v>-10.3</v>
      </c>
      <c r="H41" s="147">
        <v>794.5</v>
      </c>
      <c r="I41" s="147">
        <v>470.5</v>
      </c>
      <c r="J41" s="147">
        <v>-40.799999999999997</v>
      </c>
    </row>
    <row r="42" spans="1:10" ht="15.75" customHeight="1" x14ac:dyDescent="0.2">
      <c r="A42" s="149" t="s">
        <v>58</v>
      </c>
      <c r="B42" s="150">
        <v>469.7</v>
      </c>
      <c r="C42" s="150">
        <v>315.00000000000006</v>
      </c>
      <c r="D42" s="150">
        <v>-32.9</v>
      </c>
      <c r="E42" s="151">
        <v>1726.9736001703213</v>
      </c>
      <c r="F42" s="151">
        <v>1547.6917460317457</v>
      </c>
      <c r="G42" s="150">
        <v>-10.4</v>
      </c>
      <c r="H42" s="150">
        <v>811.3</v>
      </c>
      <c r="I42" s="150">
        <v>487.5</v>
      </c>
      <c r="J42" s="150">
        <v>-39.9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212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6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1.42578125" style="1" customWidth="1"/>
    <col min="2" max="3" width="12.42578125" style="1" customWidth="1"/>
    <col min="4" max="4" width="9.42578125" style="1" customWidth="1"/>
    <col min="5" max="5" width="12.42578125" style="1" customWidth="1"/>
    <col min="6" max="6" width="13" style="1" customWidth="1"/>
    <col min="7" max="7" width="9.42578125" style="1" customWidth="1"/>
    <col min="8" max="8" width="13" style="1" customWidth="1"/>
    <col min="9" max="9" width="12.42578125" style="1" customWidth="1"/>
    <col min="10" max="10" width="9.42578125" style="1" customWidth="1"/>
    <col min="11" max="16" width="11.42578125" style="1" customWidth="1"/>
  </cols>
  <sheetData>
    <row r="1" spans="1:10" ht="38.25" customHeight="1" x14ac:dyDescent="0.2">
      <c r="A1" s="433"/>
      <c r="B1" s="433"/>
      <c r="C1" s="433"/>
      <c r="D1" s="433"/>
      <c r="E1" s="433"/>
      <c r="F1" s="433"/>
      <c r="G1" s="433"/>
      <c r="H1" s="433"/>
      <c r="I1" s="433"/>
      <c r="J1" s="433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15.75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484" t="s">
        <v>61</v>
      </c>
      <c r="B5" s="486" t="s">
        <v>62</v>
      </c>
      <c r="C5" s="486"/>
      <c r="D5" s="486"/>
      <c r="E5" s="484" t="s">
        <v>63</v>
      </c>
      <c r="F5" s="484"/>
      <c r="G5" s="484"/>
      <c r="H5" s="486" t="s">
        <v>64</v>
      </c>
      <c r="I5" s="486"/>
      <c r="J5" s="486"/>
    </row>
    <row r="6" spans="1:10" ht="20.25" customHeight="1" x14ac:dyDescent="0.2">
      <c r="A6" s="484"/>
      <c r="B6" s="267" t="s">
        <v>2</v>
      </c>
      <c r="C6" s="267" t="s">
        <v>5</v>
      </c>
      <c r="D6" s="267" t="s">
        <v>65</v>
      </c>
      <c r="E6" s="267" t="s">
        <v>2</v>
      </c>
      <c r="F6" s="267" t="s">
        <v>5</v>
      </c>
      <c r="G6" s="267" t="s">
        <v>65</v>
      </c>
      <c r="H6" s="267" t="s">
        <v>2</v>
      </c>
      <c r="I6" s="267" t="s">
        <v>5</v>
      </c>
      <c r="J6" s="267" t="s">
        <v>65</v>
      </c>
    </row>
    <row r="7" spans="1:10" ht="20.25" customHeight="1" x14ac:dyDescent="0.2">
      <c r="A7" s="485"/>
      <c r="B7" s="268" t="s">
        <v>66</v>
      </c>
      <c r="C7" s="269" t="s">
        <v>67</v>
      </c>
      <c r="D7" s="270" t="s">
        <v>68</v>
      </c>
      <c r="E7" s="271" t="s">
        <v>69</v>
      </c>
      <c r="F7" s="270" t="s">
        <v>70</v>
      </c>
      <c r="G7" s="271" t="s">
        <v>71</v>
      </c>
      <c r="H7" s="270" t="s">
        <v>72</v>
      </c>
      <c r="I7" s="271" t="s">
        <v>73</v>
      </c>
      <c r="J7" s="269" t="s">
        <v>74</v>
      </c>
    </row>
    <row r="8" spans="1:10" ht="15.75" customHeight="1" x14ac:dyDescent="0.2">
      <c r="A8" s="139" t="s">
        <v>75</v>
      </c>
      <c r="B8" s="140">
        <v>101.19999999999999</v>
      </c>
      <c r="C8" s="140">
        <v>149.20000000000002</v>
      </c>
      <c r="D8" s="140">
        <v>47.4</v>
      </c>
      <c r="E8" s="141">
        <v>1096.9179841897233</v>
      </c>
      <c r="F8" s="141">
        <v>1044.1197050938338</v>
      </c>
      <c r="G8" s="140">
        <v>-4.8</v>
      </c>
      <c r="H8" s="140">
        <v>111.1</v>
      </c>
      <c r="I8" s="140">
        <v>155.9</v>
      </c>
      <c r="J8" s="140">
        <v>40.299999999999997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1136</v>
      </c>
      <c r="G9" s="145">
        <v>-6.3</v>
      </c>
      <c r="H9" s="143">
        <v>3.3</v>
      </c>
      <c r="I9" s="143">
        <v>0.6</v>
      </c>
      <c r="J9" s="143">
        <v>-81.8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customHeight="1" x14ac:dyDescent="0.2">
      <c r="A11" s="142" t="s">
        <v>78</v>
      </c>
      <c r="B11" s="143">
        <v>5.3</v>
      </c>
      <c r="C11" s="143">
        <v>5</v>
      </c>
      <c r="D11" s="143">
        <v>-5.7</v>
      </c>
      <c r="E11" s="144">
        <v>563</v>
      </c>
      <c r="F11" s="144">
        <v>554</v>
      </c>
      <c r="G11" s="145">
        <v>-1.6</v>
      </c>
      <c r="H11" s="143">
        <v>3</v>
      </c>
      <c r="I11" s="143">
        <v>2.8</v>
      </c>
      <c r="J11" s="143">
        <v>-6.7</v>
      </c>
    </row>
    <row r="12" spans="1:10" ht="15.75" customHeight="1" x14ac:dyDescent="0.2">
      <c r="A12" s="142" t="s">
        <v>79</v>
      </c>
      <c r="B12" s="143">
        <v>2.2000000000000002</v>
      </c>
      <c r="C12" s="143">
        <v>1.9</v>
      </c>
      <c r="D12" s="143">
        <v>-13.6</v>
      </c>
      <c r="E12" s="144">
        <v>731</v>
      </c>
      <c r="F12" s="144">
        <v>853</v>
      </c>
      <c r="G12" s="145">
        <v>16.7</v>
      </c>
      <c r="H12" s="143">
        <v>1.6</v>
      </c>
      <c r="I12" s="143">
        <v>1.6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customHeight="1" x14ac:dyDescent="0.2">
      <c r="A14" s="142" t="s">
        <v>81</v>
      </c>
      <c r="B14" s="143">
        <v>13.7</v>
      </c>
      <c r="C14" s="143">
        <v>13.4</v>
      </c>
      <c r="D14" s="143">
        <v>-2.2000000000000002</v>
      </c>
      <c r="E14" s="144">
        <v>771</v>
      </c>
      <c r="F14" s="144">
        <v>773.4</v>
      </c>
      <c r="G14" s="145">
        <v>0.3</v>
      </c>
      <c r="H14" s="143">
        <v>10.6</v>
      </c>
      <c r="I14" s="143">
        <v>10.4</v>
      </c>
      <c r="J14" s="143">
        <v>-1.9</v>
      </c>
    </row>
    <row r="15" spans="1:10" ht="15.75" customHeight="1" x14ac:dyDescent="0.2">
      <c r="A15" s="142" t="s">
        <v>82</v>
      </c>
      <c r="B15" s="143">
        <v>77.3</v>
      </c>
      <c r="C15" s="143">
        <v>128.4</v>
      </c>
      <c r="D15" s="143">
        <v>66.099999999999994</v>
      </c>
      <c r="E15" s="144">
        <v>1197.6830530401035</v>
      </c>
      <c r="F15" s="144">
        <v>1093.9283489096572</v>
      </c>
      <c r="G15" s="145">
        <v>-8.6999999999999993</v>
      </c>
      <c r="H15" s="143">
        <v>92.6</v>
      </c>
      <c r="I15" s="143">
        <v>140.5</v>
      </c>
      <c r="J15" s="143">
        <v>51.7</v>
      </c>
    </row>
    <row r="16" spans="1:10" ht="15.75" customHeight="1" x14ac:dyDescent="0.2">
      <c r="A16" s="146" t="s">
        <v>83</v>
      </c>
      <c r="B16" s="147">
        <v>1037.4000000000001</v>
      </c>
      <c r="C16" s="147">
        <v>965</v>
      </c>
      <c r="D16" s="147">
        <v>-7</v>
      </c>
      <c r="E16" s="148">
        <v>349.71052631578942</v>
      </c>
      <c r="F16" s="148">
        <v>457.11792746113986</v>
      </c>
      <c r="G16" s="147">
        <v>30.7</v>
      </c>
      <c r="H16" s="147">
        <v>362.7</v>
      </c>
      <c r="I16" s="147">
        <v>441.19999999999993</v>
      </c>
      <c r="J16" s="147">
        <v>21.6</v>
      </c>
    </row>
    <row r="17" spans="1:10" ht="15.75" customHeight="1" x14ac:dyDescent="0.2">
      <c r="A17" s="142" t="s">
        <v>84</v>
      </c>
      <c r="B17" s="143">
        <v>47.400000000000006</v>
      </c>
      <c r="C17" s="143">
        <v>42.900000000000006</v>
      </c>
      <c r="D17" s="143">
        <v>-9.5</v>
      </c>
      <c r="E17" s="144">
        <v>670.45358649789023</v>
      </c>
      <c r="F17" s="144">
        <v>660.9487179487179</v>
      </c>
      <c r="G17" s="145">
        <v>-1.4</v>
      </c>
      <c r="H17" s="143">
        <v>31.8</v>
      </c>
      <c r="I17" s="143">
        <v>28.4</v>
      </c>
      <c r="J17" s="143">
        <v>-10.7</v>
      </c>
    </row>
    <row r="18" spans="1:10" ht="15.75" customHeight="1" x14ac:dyDescent="0.2">
      <c r="A18" s="142" t="s">
        <v>85</v>
      </c>
      <c r="B18" s="143">
        <v>204.70000000000002</v>
      </c>
      <c r="C18" s="143">
        <v>195.1</v>
      </c>
      <c r="D18" s="143">
        <v>-4.7</v>
      </c>
      <c r="E18" s="144">
        <v>261.84367366878359</v>
      </c>
      <c r="F18" s="144">
        <v>365.65043567401329</v>
      </c>
      <c r="G18" s="145">
        <v>39.6</v>
      </c>
      <c r="H18" s="143">
        <v>53.6</v>
      </c>
      <c r="I18" s="143">
        <v>71.3</v>
      </c>
      <c r="J18" s="143">
        <v>33</v>
      </c>
    </row>
    <row r="19" spans="1:10" ht="15.75" customHeight="1" x14ac:dyDescent="0.2">
      <c r="A19" s="142" t="s">
        <v>86</v>
      </c>
      <c r="B19" s="143">
        <v>330.3</v>
      </c>
      <c r="C19" s="143">
        <v>317.7</v>
      </c>
      <c r="D19" s="143">
        <v>-3.8</v>
      </c>
      <c r="E19" s="144">
        <v>154</v>
      </c>
      <c r="F19" s="144">
        <v>363</v>
      </c>
      <c r="G19" s="145">
        <v>135.69999999999999</v>
      </c>
      <c r="H19" s="143">
        <v>50.9</v>
      </c>
      <c r="I19" s="143">
        <v>115.3</v>
      </c>
      <c r="J19" s="143">
        <v>126.5</v>
      </c>
    </row>
    <row r="20" spans="1:10" ht="15.75" customHeight="1" x14ac:dyDescent="0.2">
      <c r="A20" s="142" t="s">
        <v>87</v>
      </c>
      <c r="B20" s="143">
        <v>46.8</v>
      </c>
      <c r="C20" s="143">
        <v>45.4</v>
      </c>
      <c r="D20" s="143">
        <v>-3</v>
      </c>
      <c r="E20" s="144">
        <v>165</v>
      </c>
      <c r="F20" s="144">
        <v>345</v>
      </c>
      <c r="G20" s="145">
        <v>109.1</v>
      </c>
      <c r="H20" s="143">
        <v>7.7</v>
      </c>
      <c r="I20" s="143">
        <v>15.7</v>
      </c>
      <c r="J20" s="143">
        <v>103.9</v>
      </c>
    </row>
    <row r="21" spans="1:10" ht="15.75" customHeight="1" x14ac:dyDescent="0.2">
      <c r="A21" s="142" t="s">
        <v>88</v>
      </c>
      <c r="B21" s="143">
        <v>74</v>
      </c>
      <c r="C21" s="143">
        <v>67</v>
      </c>
      <c r="D21" s="143">
        <v>-9.5</v>
      </c>
      <c r="E21" s="144">
        <v>291</v>
      </c>
      <c r="F21" s="144">
        <v>339</v>
      </c>
      <c r="G21" s="145">
        <v>16.5</v>
      </c>
      <c r="H21" s="143">
        <v>21.5</v>
      </c>
      <c r="I21" s="143">
        <v>22.7</v>
      </c>
      <c r="J21" s="143">
        <v>5.6</v>
      </c>
    </row>
    <row r="22" spans="1:10" ht="15.75" customHeight="1" x14ac:dyDescent="0.2">
      <c r="A22" s="142" t="s">
        <v>89</v>
      </c>
      <c r="B22" s="143">
        <v>109.30000000000001</v>
      </c>
      <c r="C22" s="143">
        <v>107.7</v>
      </c>
      <c r="D22" s="143">
        <v>-1.5</v>
      </c>
      <c r="E22" s="144">
        <v>401.37602927721866</v>
      </c>
      <c r="F22" s="144">
        <v>453.71030640668528</v>
      </c>
      <c r="G22" s="145">
        <v>13</v>
      </c>
      <c r="H22" s="143">
        <v>43.8</v>
      </c>
      <c r="I22" s="143">
        <v>48.900000000000006</v>
      </c>
      <c r="J22" s="143">
        <v>11.6</v>
      </c>
    </row>
    <row r="23" spans="1:10" ht="15.75" customHeight="1" x14ac:dyDescent="0.2">
      <c r="A23" s="142" t="s">
        <v>90</v>
      </c>
      <c r="B23" s="143">
        <v>2.2000000000000002</v>
      </c>
      <c r="C23" s="143">
        <v>0.4</v>
      </c>
      <c r="D23" s="143">
        <v>-81.8</v>
      </c>
      <c r="E23" s="144">
        <v>969</v>
      </c>
      <c r="F23" s="144">
        <v>461</v>
      </c>
      <c r="G23" s="145">
        <v>-52.4</v>
      </c>
      <c r="H23" s="143">
        <v>2.1</v>
      </c>
      <c r="I23" s="143">
        <v>0.2</v>
      </c>
      <c r="J23" s="143">
        <v>-90.5</v>
      </c>
    </row>
    <row r="24" spans="1:1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10" ht="15.75" customHeight="1" x14ac:dyDescent="0.2">
      <c r="A25" s="142" t="s">
        <v>92</v>
      </c>
      <c r="B25" s="143">
        <v>222.7</v>
      </c>
      <c r="C25" s="143">
        <v>188.79999999999998</v>
      </c>
      <c r="D25" s="143">
        <v>-15.2</v>
      </c>
      <c r="E25" s="144">
        <v>679.32824427480921</v>
      </c>
      <c r="F25" s="144">
        <v>734.51059322033893</v>
      </c>
      <c r="G25" s="145">
        <v>8.1</v>
      </c>
      <c r="H25" s="143">
        <v>151.29999999999998</v>
      </c>
      <c r="I25" s="143">
        <v>138.70000000000002</v>
      </c>
      <c r="J25" s="143">
        <v>-8.3000000000000007</v>
      </c>
    </row>
    <row r="26" spans="1:10" ht="15.75" customHeight="1" x14ac:dyDescent="0.2">
      <c r="A26" s="146" t="s">
        <v>93</v>
      </c>
      <c r="B26" s="147">
        <v>102.10000000000001</v>
      </c>
      <c r="C26" s="147">
        <v>153.4</v>
      </c>
      <c r="D26" s="147">
        <v>50.2</v>
      </c>
      <c r="E26" s="148">
        <v>1160.382957884427</v>
      </c>
      <c r="F26" s="148">
        <v>1143.2229465449805</v>
      </c>
      <c r="G26" s="147">
        <v>-1.5</v>
      </c>
      <c r="H26" s="147">
        <v>118.5</v>
      </c>
      <c r="I26" s="147">
        <v>175.4</v>
      </c>
      <c r="J26" s="147">
        <v>48</v>
      </c>
    </row>
    <row r="27" spans="1:10" ht="15.75" customHeight="1" x14ac:dyDescent="0.2">
      <c r="A27" s="142" t="s">
        <v>94</v>
      </c>
      <c r="B27" s="143">
        <v>85.9</v>
      </c>
      <c r="C27" s="143">
        <v>123.4</v>
      </c>
      <c r="D27" s="143">
        <v>43.7</v>
      </c>
      <c r="E27" s="144">
        <v>1117.8335273573923</v>
      </c>
      <c r="F27" s="144">
        <v>1134.2820097244733</v>
      </c>
      <c r="G27" s="145">
        <v>1.5</v>
      </c>
      <c r="H27" s="143">
        <v>96</v>
      </c>
      <c r="I27" s="143">
        <v>140</v>
      </c>
      <c r="J27" s="143">
        <v>45.8</v>
      </c>
    </row>
    <row r="28" spans="1:1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10" ht="15.75" customHeight="1" x14ac:dyDescent="0.2">
      <c r="A29" s="142" t="s">
        <v>96</v>
      </c>
      <c r="B29" s="143">
        <v>16.2</v>
      </c>
      <c r="C29" s="143">
        <v>30</v>
      </c>
      <c r="D29" s="143">
        <v>85.2</v>
      </c>
      <c r="E29" s="144">
        <v>1386</v>
      </c>
      <c r="F29" s="144">
        <v>1180</v>
      </c>
      <c r="G29" s="145">
        <v>-14.9</v>
      </c>
      <c r="H29" s="143">
        <v>22.5</v>
      </c>
      <c r="I29" s="143">
        <v>35.4</v>
      </c>
      <c r="J29" s="143">
        <v>57.3</v>
      </c>
    </row>
    <row r="30" spans="1:1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10" ht="15.75" customHeight="1" x14ac:dyDescent="0.2">
      <c r="A31" s="146" t="s">
        <v>98</v>
      </c>
      <c r="B31" s="147">
        <v>14.2</v>
      </c>
      <c r="C31" s="147">
        <v>14.6</v>
      </c>
      <c r="D31" s="147">
        <v>2.8</v>
      </c>
      <c r="E31" s="148">
        <v>555.83098591549299</v>
      </c>
      <c r="F31" s="148">
        <v>559.1232876712329</v>
      </c>
      <c r="G31" s="147">
        <v>0.6</v>
      </c>
      <c r="H31" s="147">
        <v>7.8999999999999995</v>
      </c>
      <c r="I31" s="147">
        <v>8.1</v>
      </c>
      <c r="J31" s="147">
        <v>2.5</v>
      </c>
    </row>
    <row r="32" spans="1:10" ht="15.75" customHeight="1" x14ac:dyDescent="0.2">
      <c r="A32" s="142" t="s">
        <v>99</v>
      </c>
      <c r="B32" s="143">
        <v>14.2</v>
      </c>
      <c r="C32" s="143">
        <v>14.6</v>
      </c>
      <c r="D32" s="143">
        <v>2.8</v>
      </c>
      <c r="E32" s="144">
        <v>555.83098591549299</v>
      </c>
      <c r="F32" s="144">
        <v>559.1232876712329</v>
      </c>
      <c r="G32" s="145">
        <v>0.6</v>
      </c>
      <c r="H32" s="143">
        <v>7.8999999999999995</v>
      </c>
      <c r="I32" s="143">
        <v>8.1</v>
      </c>
      <c r="J32" s="143">
        <v>2.5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1138.6000000000001</v>
      </c>
      <c r="C40" s="147">
        <v>1114.2</v>
      </c>
      <c r="D40" s="147">
        <v>-2.1</v>
      </c>
      <c r="E40" s="148">
        <v>416.12313367293154</v>
      </c>
      <c r="F40" s="148">
        <v>535.72200682103744</v>
      </c>
      <c r="G40" s="147">
        <v>28.7</v>
      </c>
      <c r="H40" s="147">
        <v>473.79999999999995</v>
      </c>
      <c r="I40" s="147">
        <v>597.09999999999991</v>
      </c>
      <c r="J40" s="147">
        <v>26</v>
      </c>
    </row>
    <row r="41" spans="1:10" ht="15.75" customHeight="1" x14ac:dyDescent="0.2">
      <c r="A41" s="146" t="s">
        <v>108</v>
      </c>
      <c r="B41" s="147">
        <v>116.30000000000001</v>
      </c>
      <c r="C41" s="147">
        <v>168</v>
      </c>
      <c r="D41" s="147">
        <v>44.5</v>
      </c>
      <c r="E41" s="148">
        <v>1086.5683576956148</v>
      </c>
      <c r="F41" s="148">
        <v>1092.4619047619049</v>
      </c>
      <c r="G41" s="147">
        <v>0.5</v>
      </c>
      <c r="H41" s="147">
        <v>126.4</v>
      </c>
      <c r="I41" s="147">
        <v>183.5</v>
      </c>
      <c r="J41" s="147">
        <v>45.2</v>
      </c>
    </row>
    <row r="42" spans="1:10" ht="15.75" customHeight="1" x14ac:dyDescent="0.2">
      <c r="A42" s="149" t="s">
        <v>58</v>
      </c>
      <c r="B42" s="150">
        <v>1254.9000000000001</v>
      </c>
      <c r="C42" s="150">
        <v>1282.2</v>
      </c>
      <c r="D42" s="150">
        <v>2.2000000000000002</v>
      </c>
      <c r="E42" s="151">
        <v>478.25778946529596</v>
      </c>
      <c r="F42" s="151">
        <v>608.66874122601769</v>
      </c>
      <c r="G42" s="150">
        <v>27.3</v>
      </c>
      <c r="H42" s="150">
        <v>600.19999999999993</v>
      </c>
      <c r="I42" s="150">
        <v>780.59999999999991</v>
      </c>
      <c r="J42" s="150">
        <v>30.1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10" ht="15.75" customHeight="1" x14ac:dyDescent="0.2">
      <c r="A44" s="25" t="s">
        <v>212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" customWidth="1"/>
    <col min="2" max="3" width="11.42578125" style="1" customWidth="1"/>
    <col min="4" max="4" width="8.42578125" style="1" customWidth="1"/>
    <col min="5" max="6" width="13.42578125" style="1" customWidth="1"/>
    <col min="7" max="7" width="9.42578125" style="1" customWidth="1"/>
    <col min="8" max="8" width="12.42578125" style="1" customWidth="1"/>
    <col min="9" max="9" width="13" style="1" customWidth="1"/>
    <col min="10" max="14" width="11.42578125" style="1" customWidth="1"/>
  </cols>
  <sheetData>
    <row r="1" spans="1:10" ht="30.75" customHeight="1" x14ac:dyDescent="0.2">
      <c r="A1" s="26"/>
      <c r="B1" s="26"/>
      <c r="C1" s="26"/>
      <c r="D1" s="26"/>
      <c r="E1" s="26"/>
      <c r="F1" s="26"/>
      <c r="G1" s="26"/>
      <c r="H1" s="26"/>
      <c r="I1" s="26"/>
      <c r="J1" s="26"/>
    </row>
    <row r="2" spans="1:10" ht="15.75" customHeight="1" x14ac:dyDescent="0.2">
      <c r="A2" s="26"/>
      <c r="B2" s="26"/>
      <c r="C2" s="26"/>
      <c r="D2" s="26"/>
      <c r="E2" s="26"/>
      <c r="F2" s="26"/>
      <c r="G2" s="26"/>
      <c r="H2" s="26"/>
      <c r="I2" s="26"/>
      <c r="J2" s="26"/>
    </row>
    <row r="3" spans="1:10" ht="15.75" customHeight="1" x14ac:dyDescent="0.2">
      <c r="A3" s="26"/>
      <c r="B3" s="26"/>
      <c r="C3" s="26"/>
      <c r="D3" s="26"/>
      <c r="E3" s="26"/>
      <c r="F3" s="26"/>
      <c r="G3" s="26"/>
      <c r="H3" s="26"/>
      <c r="I3" s="26"/>
      <c r="J3" s="26"/>
    </row>
    <row r="4" spans="1:10" ht="16.5" customHeight="1" x14ac:dyDescent="0.2">
      <c r="A4" s="26"/>
      <c r="B4" s="26"/>
      <c r="C4" s="26"/>
      <c r="D4" s="26"/>
      <c r="E4" s="26"/>
      <c r="F4" s="26"/>
      <c r="G4" s="26"/>
      <c r="H4" s="26"/>
      <c r="I4" s="26"/>
      <c r="J4" s="26"/>
    </row>
    <row r="5" spans="1:10" ht="20.25" customHeight="1" x14ac:dyDescent="0.2">
      <c r="A5" s="484" t="s">
        <v>61</v>
      </c>
      <c r="B5" s="488" t="s">
        <v>62</v>
      </c>
      <c r="C5" s="488"/>
      <c r="D5" s="488"/>
      <c r="E5" s="489" t="s">
        <v>63</v>
      </c>
      <c r="F5" s="489"/>
      <c r="G5" s="489"/>
      <c r="H5" s="488" t="s">
        <v>64</v>
      </c>
      <c r="I5" s="488"/>
      <c r="J5" s="488"/>
    </row>
    <row r="6" spans="1:10" ht="20.25" customHeight="1" x14ac:dyDescent="0.2">
      <c r="A6" s="487"/>
      <c r="B6" s="280" t="s">
        <v>2</v>
      </c>
      <c r="C6" s="281" t="s">
        <v>5</v>
      </c>
      <c r="D6" s="281" t="s">
        <v>65</v>
      </c>
      <c r="E6" s="281" t="s">
        <v>2</v>
      </c>
      <c r="F6" s="281" t="s">
        <v>5</v>
      </c>
      <c r="G6" s="281" t="s">
        <v>65</v>
      </c>
      <c r="H6" s="281" t="s">
        <v>2</v>
      </c>
      <c r="I6" s="281" t="s">
        <v>5</v>
      </c>
      <c r="J6" s="282" t="s">
        <v>65</v>
      </c>
    </row>
    <row r="7" spans="1:10" ht="20.25" customHeight="1" x14ac:dyDescent="0.2">
      <c r="A7" s="485"/>
      <c r="B7" s="283" t="s">
        <v>66</v>
      </c>
      <c r="C7" s="271" t="s">
        <v>67</v>
      </c>
      <c r="D7" s="269" t="s">
        <v>68</v>
      </c>
      <c r="E7" s="269" t="s">
        <v>69</v>
      </c>
      <c r="F7" s="269" t="s">
        <v>70</v>
      </c>
      <c r="G7" s="269" t="s">
        <v>71</v>
      </c>
      <c r="H7" s="270" t="s">
        <v>72</v>
      </c>
      <c r="I7" s="270" t="s">
        <v>73</v>
      </c>
      <c r="J7" s="270" t="s">
        <v>74</v>
      </c>
    </row>
    <row r="8" spans="1:10" ht="15.75" customHeight="1" x14ac:dyDescent="0.2">
      <c r="A8" s="293" t="s">
        <v>75</v>
      </c>
      <c r="B8" s="294">
        <v>107.5</v>
      </c>
      <c r="C8" s="294">
        <v>154.30000000000001</v>
      </c>
      <c r="D8" s="294">
        <v>43.5</v>
      </c>
      <c r="E8" s="295">
        <v>1087.6279069767443</v>
      </c>
      <c r="F8" s="295">
        <v>1040.7968891769278</v>
      </c>
      <c r="G8" s="294">
        <v>-4.3</v>
      </c>
      <c r="H8" s="294">
        <v>116.9</v>
      </c>
      <c r="I8" s="294">
        <v>160.6</v>
      </c>
      <c r="J8" s="294">
        <v>37.4</v>
      </c>
    </row>
    <row r="9" spans="1:10" ht="15.75" customHeight="1" x14ac:dyDescent="0.2">
      <c r="A9" s="142" t="s">
        <v>76</v>
      </c>
      <c r="B9" s="143">
        <v>2.7</v>
      </c>
      <c r="C9" s="143">
        <v>0.5</v>
      </c>
      <c r="D9" s="143">
        <v>-81.5</v>
      </c>
      <c r="E9" s="144">
        <v>1212</v>
      </c>
      <c r="F9" s="144">
        <v>1136</v>
      </c>
      <c r="G9" s="145">
        <v>-6.3</v>
      </c>
      <c r="H9" s="143">
        <v>3.3</v>
      </c>
      <c r="I9" s="143">
        <v>0.6</v>
      </c>
      <c r="J9" s="143">
        <v>-81.8</v>
      </c>
    </row>
    <row r="10" spans="1:10" ht="15.75" customHeight="1" x14ac:dyDescent="0.2">
      <c r="A10" s="142" t="s">
        <v>77</v>
      </c>
      <c r="B10" s="143">
        <v>2</v>
      </c>
      <c r="C10" s="143">
        <v>1.1000000000000001</v>
      </c>
      <c r="D10" s="143">
        <v>-45</v>
      </c>
      <c r="E10" s="144">
        <v>1060</v>
      </c>
      <c r="F10" s="144">
        <v>1042</v>
      </c>
      <c r="G10" s="145">
        <v>-1.7</v>
      </c>
      <c r="H10" s="143">
        <v>2.1</v>
      </c>
      <c r="I10" s="143">
        <v>1.1000000000000001</v>
      </c>
      <c r="J10" s="143">
        <v>-47.6</v>
      </c>
    </row>
    <row r="11" spans="1:10" ht="15.75" customHeight="1" x14ac:dyDescent="0.2">
      <c r="A11" s="142" t="s">
        <v>78</v>
      </c>
      <c r="B11" s="143">
        <v>5.3</v>
      </c>
      <c r="C11" s="143">
        <v>5</v>
      </c>
      <c r="D11" s="143">
        <v>-5.7</v>
      </c>
      <c r="E11" s="144">
        <v>563</v>
      </c>
      <c r="F11" s="144">
        <v>554</v>
      </c>
      <c r="G11" s="145">
        <v>-1.6</v>
      </c>
      <c r="H11" s="143">
        <v>3</v>
      </c>
      <c r="I11" s="143">
        <v>2.8</v>
      </c>
      <c r="J11" s="143">
        <v>-6.7</v>
      </c>
    </row>
    <row r="12" spans="1:10" ht="15.75" customHeight="1" x14ac:dyDescent="0.2">
      <c r="A12" s="142" t="s">
        <v>79</v>
      </c>
      <c r="B12" s="143">
        <v>2.2000000000000002</v>
      </c>
      <c r="C12" s="143">
        <v>1.9</v>
      </c>
      <c r="D12" s="143">
        <v>-13.6</v>
      </c>
      <c r="E12" s="144">
        <v>731</v>
      </c>
      <c r="F12" s="144">
        <v>853</v>
      </c>
      <c r="G12" s="145">
        <v>16.7</v>
      </c>
      <c r="H12" s="143">
        <v>1.6</v>
      </c>
      <c r="I12" s="143">
        <v>1.6</v>
      </c>
      <c r="J12" s="143">
        <v>0</v>
      </c>
    </row>
    <row r="13" spans="1:10" ht="15.75" customHeight="1" x14ac:dyDescent="0.2">
      <c r="A13" s="142" t="s">
        <v>80</v>
      </c>
      <c r="B13" s="143">
        <v>1.1000000000000001</v>
      </c>
      <c r="C13" s="143">
        <v>0.7</v>
      </c>
      <c r="D13" s="143">
        <v>-36.4</v>
      </c>
      <c r="E13" s="144">
        <v>909</v>
      </c>
      <c r="F13" s="144">
        <v>957.99999999999989</v>
      </c>
      <c r="G13" s="145">
        <v>5.4</v>
      </c>
      <c r="H13" s="143">
        <v>1</v>
      </c>
      <c r="I13" s="143">
        <v>0.7</v>
      </c>
      <c r="J13" s="143">
        <v>-30</v>
      </c>
    </row>
    <row r="14" spans="1:10" ht="15.75" customHeight="1" x14ac:dyDescent="0.2">
      <c r="A14" s="142" t="s">
        <v>81</v>
      </c>
      <c r="B14" s="143">
        <v>16.599999999999998</v>
      </c>
      <c r="C14" s="143">
        <v>16.3</v>
      </c>
      <c r="D14" s="143">
        <v>-1.8</v>
      </c>
      <c r="E14" s="144">
        <v>748.11445783132535</v>
      </c>
      <c r="F14" s="144">
        <v>750.19999999999993</v>
      </c>
      <c r="G14" s="145">
        <v>0.3</v>
      </c>
      <c r="H14" s="143">
        <v>12.4</v>
      </c>
      <c r="I14" s="143">
        <v>12.2</v>
      </c>
      <c r="J14" s="143">
        <v>-1.6</v>
      </c>
    </row>
    <row r="15" spans="1:10" ht="15.75" customHeight="1" x14ac:dyDescent="0.2">
      <c r="A15" s="142" t="s">
        <v>82</v>
      </c>
      <c r="B15" s="143">
        <v>77.599999999999994</v>
      </c>
      <c r="C15" s="143">
        <v>128.80000000000001</v>
      </c>
      <c r="D15" s="143">
        <v>66</v>
      </c>
      <c r="E15" s="144">
        <v>1205.1146907216496</v>
      </c>
      <c r="F15" s="144">
        <v>1099.310559006211</v>
      </c>
      <c r="G15" s="145">
        <v>-8.8000000000000007</v>
      </c>
      <c r="H15" s="143">
        <v>93.5</v>
      </c>
      <c r="I15" s="143">
        <v>141.6</v>
      </c>
      <c r="J15" s="143">
        <v>51.4</v>
      </c>
    </row>
    <row r="16" spans="1:10" ht="15.75" customHeight="1" x14ac:dyDescent="0.2">
      <c r="A16" s="146" t="s">
        <v>83</v>
      </c>
      <c r="B16" s="147">
        <v>1312.3999999999999</v>
      </c>
      <c r="C16" s="147">
        <v>1223.1999999999998</v>
      </c>
      <c r="D16" s="147">
        <v>-6.8</v>
      </c>
      <c r="E16" s="148">
        <v>460.22302651630611</v>
      </c>
      <c r="F16" s="148">
        <v>576.52329954218453</v>
      </c>
      <c r="G16" s="147">
        <v>25.3</v>
      </c>
      <c r="H16" s="147">
        <v>604</v>
      </c>
      <c r="I16" s="147">
        <v>705.2</v>
      </c>
      <c r="J16" s="147">
        <v>16.8</v>
      </c>
    </row>
    <row r="17" spans="1:10" ht="15.75" customHeight="1" x14ac:dyDescent="0.2">
      <c r="A17" s="142" t="s">
        <v>84</v>
      </c>
      <c r="B17" s="143">
        <v>47.400000000000006</v>
      </c>
      <c r="C17" s="143">
        <v>42.900000000000006</v>
      </c>
      <c r="D17" s="143">
        <v>-9.5</v>
      </c>
      <c r="E17" s="144">
        <v>670.45358649789023</v>
      </c>
      <c r="F17" s="144">
        <v>660.9487179487179</v>
      </c>
      <c r="G17" s="145">
        <v>-1.4</v>
      </c>
      <c r="H17" s="143">
        <v>31.8</v>
      </c>
      <c r="I17" s="143">
        <v>28.4</v>
      </c>
      <c r="J17" s="143">
        <v>-10.7</v>
      </c>
    </row>
    <row r="18" spans="1:10" ht="15.75" customHeight="1" x14ac:dyDescent="0.2">
      <c r="A18" s="142" t="s">
        <v>85</v>
      </c>
      <c r="B18" s="143">
        <v>204.70000000000002</v>
      </c>
      <c r="C18" s="143">
        <v>195.1</v>
      </c>
      <c r="D18" s="143">
        <v>-4.7</v>
      </c>
      <c r="E18" s="144">
        <v>261.84367366878359</v>
      </c>
      <c r="F18" s="144">
        <v>365.65043567401329</v>
      </c>
      <c r="G18" s="145">
        <v>39.6</v>
      </c>
      <c r="H18" s="143">
        <v>53.6</v>
      </c>
      <c r="I18" s="143">
        <v>71.3</v>
      </c>
      <c r="J18" s="143">
        <v>33</v>
      </c>
    </row>
    <row r="19" spans="1:10" ht="15.75" customHeight="1" x14ac:dyDescent="0.2">
      <c r="A19" s="142" t="s">
        <v>86</v>
      </c>
      <c r="B19" s="143">
        <v>336.40000000000003</v>
      </c>
      <c r="C19" s="143">
        <v>323.5</v>
      </c>
      <c r="D19" s="143">
        <v>-3.8</v>
      </c>
      <c r="E19" s="144">
        <v>157.35463733650417</v>
      </c>
      <c r="F19" s="144">
        <v>365.16939721792886</v>
      </c>
      <c r="G19" s="145">
        <v>132.1</v>
      </c>
      <c r="H19" s="143">
        <v>52.9</v>
      </c>
      <c r="I19" s="143">
        <v>118.1</v>
      </c>
      <c r="J19" s="143">
        <v>123.3</v>
      </c>
    </row>
    <row r="20" spans="1:10" ht="15.75" customHeight="1" x14ac:dyDescent="0.2">
      <c r="A20" s="142" t="s">
        <v>87</v>
      </c>
      <c r="B20" s="143">
        <v>46.8</v>
      </c>
      <c r="C20" s="143">
        <v>45.4</v>
      </c>
      <c r="D20" s="143">
        <v>-3</v>
      </c>
      <c r="E20" s="144">
        <v>165</v>
      </c>
      <c r="F20" s="144">
        <v>345</v>
      </c>
      <c r="G20" s="145">
        <v>109.1</v>
      </c>
      <c r="H20" s="143">
        <v>7.7</v>
      </c>
      <c r="I20" s="143">
        <v>15.7</v>
      </c>
      <c r="J20" s="143">
        <v>103.9</v>
      </c>
    </row>
    <row r="21" spans="1:10" ht="15.75" customHeight="1" x14ac:dyDescent="0.2">
      <c r="A21" s="142" t="s">
        <v>88</v>
      </c>
      <c r="B21" s="143">
        <v>103.10000000000001</v>
      </c>
      <c r="C21" s="143">
        <v>89.199999999999989</v>
      </c>
      <c r="D21" s="143">
        <v>-13.5</v>
      </c>
      <c r="E21" s="144">
        <v>292.72356935014545</v>
      </c>
      <c r="F21" s="144">
        <v>344.50672645739917</v>
      </c>
      <c r="G21" s="145">
        <v>17.7</v>
      </c>
      <c r="H21" s="143">
        <v>30.2</v>
      </c>
      <c r="I21" s="143">
        <v>30.7</v>
      </c>
      <c r="J21" s="143">
        <v>1.7</v>
      </c>
    </row>
    <row r="22" spans="1:10" ht="15.75" customHeight="1" x14ac:dyDescent="0.2">
      <c r="A22" s="142" t="s">
        <v>89</v>
      </c>
      <c r="B22" s="143">
        <v>173.7</v>
      </c>
      <c r="C22" s="143">
        <v>170.10000000000002</v>
      </c>
      <c r="D22" s="143">
        <v>-2.1</v>
      </c>
      <c r="E22" s="144">
        <v>707.8560736902707</v>
      </c>
      <c r="F22" s="144">
        <v>744.67372134038794</v>
      </c>
      <c r="G22" s="145">
        <v>5.2</v>
      </c>
      <c r="H22" s="143">
        <v>123</v>
      </c>
      <c r="I22" s="143">
        <v>126.7</v>
      </c>
      <c r="J22" s="143">
        <v>3</v>
      </c>
    </row>
    <row r="23" spans="1:10" ht="15.75" customHeight="1" x14ac:dyDescent="0.2">
      <c r="A23" s="142" t="s">
        <v>90</v>
      </c>
      <c r="B23" s="143">
        <v>20.599999999999998</v>
      </c>
      <c r="C23" s="143">
        <v>7.3000000000000007</v>
      </c>
      <c r="D23" s="143">
        <v>-64.599999999999994</v>
      </c>
      <c r="E23" s="144">
        <v>617.97087378640788</v>
      </c>
      <c r="F23" s="144">
        <v>415.63013698630135</v>
      </c>
      <c r="G23" s="145">
        <v>-32.700000000000003</v>
      </c>
      <c r="H23" s="143">
        <v>12.7</v>
      </c>
      <c r="I23" s="143">
        <v>3</v>
      </c>
      <c r="J23" s="143">
        <v>-76.400000000000006</v>
      </c>
    </row>
    <row r="24" spans="1:10" ht="15.75" customHeight="1" x14ac:dyDescent="0.2">
      <c r="A24" s="142" t="s">
        <v>91</v>
      </c>
      <c r="B24" s="143">
        <v>2.4</v>
      </c>
      <c r="C24" s="143">
        <v>2.4</v>
      </c>
      <c r="D24" s="143">
        <v>0</v>
      </c>
      <c r="E24" s="144">
        <v>513</v>
      </c>
      <c r="F24" s="144">
        <v>513</v>
      </c>
      <c r="G24" s="145">
        <v>0</v>
      </c>
      <c r="H24" s="143">
        <v>1.2</v>
      </c>
      <c r="I24" s="143">
        <v>1.2</v>
      </c>
      <c r="J24" s="143">
        <v>0</v>
      </c>
    </row>
    <row r="25" spans="1:10" ht="15.75" customHeight="1" x14ac:dyDescent="0.2">
      <c r="A25" s="142" t="s">
        <v>92</v>
      </c>
      <c r="B25" s="143">
        <v>377.29999999999995</v>
      </c>
      <c r="C25" s="143">
        <v>347.29999999999995</v>
      </c>
      <c r="D25" s="143">
        <v>-8</v>
      </c>
      <c r="E25" s="144">
        <v>770.9141266896371</v>
      </c>
      <c r="F25" s="144">
        <v>892.74575295133911</v>
      </c>
      <c r="G25" s="145">
        <v>15.8</v>
      </c>
      <c r="H25" s="143">
        <v>290.89999999999998</v>
      </c>
      <c r="I25" s="143">
        <v>310.10000000000002</v>
      </c>
      <c r="J25" s="143">
        <v>6.6</v>
      </c>
    </row>
    <row r="26" spans="1:10" ht="15.75" customHeight="1" x14ac:dyDescent="0.2">
      <c r="A26" s="146" t="s">
        <v>93</v>
      </c>
      <c r="B26" s="147">
        <v>303.99999999999994</v>
      </c>
      <c r="C26" s="147">
        <v>354.7</v>
      </c>
      <c r="D26" s="147">
        <v>16.7</v>
      </c>
      <c r="E26" s="148">
        <v>2111.1069078947371</v>
      </c>
      <c r="F26" s="148">
        <v>1980.6557654355793</v>
      </c>
      <c r="G26" s="147">
        <v>-6.2</v>
      </c>
      <c r="H26" s="147">
        <v>641.70000000000005</v>
      </c>
      <c r="I26" s="147">
        <v>702.5</v>
      </c>
      <c r="J26" s="147">
        <v>9.5</v>
      </c>
    </row>
    <row r="27" spans="1:10" ht="15.75" customHeight="1" x14ac:dyDescent="0.2">
      <c r="A27" s="142" t="s">
        <v>94</v>
      </c>
      <c r="B27" s="143">
        <v>164.2</v>
      </c>
      <c r="C27" s="143">
        <v>205.7</v>
      </c>
      <c r="D27" s="143">
        <v>25.3</v>
      </c>
      <c r="E27" s="144">
        <v>1843.6345919610235</v>
      </c>
      <c r="F27" s="144">
        <v>1669.2751579970834</v>
      </c>
      <c r="G27" s="145">
        <v>-9.5</v>
      </c>
      <c r="H27" s="143">
        <v>302.7</v>
      </c>
      <c r="I27" s="143">
        <v>343.4</v>
      </c>
      <c r="J27" s="143">
        <v>13.4</v>
      </c>
    </row>
    <row r="28" spans="1:10" ht="15.75" customHeight="1" x14ac:dyDescent="0.2">
      <c r="A28" s="142" t="s">
        <v>95</v>
      </c>
      <c r="B28" s="143">
        <v>5.7</v>
      </c>
      <c r="C28" s="143">
        <v>7.3</v>
      </c>
      <c r="D28" s="143">
        <v>28.1</v>
      </c>
      <c r="E28" s="144">
        <v>1775</v>
      </c>
      <c r="F28" s="144">
        <v>1621</v>
      </c>
      <c r="G28" s="145">
        <v>-8.6999999999999993</v>
      </c>
      <c r="H28" s="143">
        <v>10.1</v>
      </c>
      <c r="I28" s="143">
        <v>11.8</v>
      </c>
      <c r="J28" s="143">
        <v>16.8</v>
      </c>
    </row>
    <row r="29" spans="1:10" ht="15.75" customHeight="1" x14ac:dyDescent="0.2">
      <c r="A29" s="142" t="s">
        <v>96</v>
      </c>
      <c r="B29" s="143">
        <v>119.2</v>
      </c>
      <c r="C29" s="143">
        <v>127</v>
      </c>
      <c r="D29" s="143">
        <v>6.5</v>
      </c>
      <c r="E29" s="144">
        <v>2432.3255033557048</v>
      </c>
      <c r="F29" s="144">
        <v>2434.0314960629921</v>
      </c>
      <c r="G29" s="145">
        <v>0.1</v>
      </c>
      <c r="H29" s="143">
        <v>289.89999999999998</v>
      </c>
      <c r="I29" s="143">
        <v>309.10000000000002</v>
      </c>
      <c r="J29" s="143">
        <v>6.6</v>
      </c>
    </row>
    <row r="30" spans="1:10" ht="15.75" customHeight="1" x14ac:dyDescent="0.2">
      <c r="A30" s="142" t="s">
        <v>97</v>
      </c>
      <c r="B30" s="143">
        <v>14.9</v>
      </c>
      <c r="C30" s="143">
        <v>14.7</v>
      </c>
      <c r="D30" s="143">
        <v>-1.3</v>
      </c>
      <c r="E30" s="144">
        <v>2617.5167785234898</v>
      </c>
      <c r="F30" s="144">
        <v>2599.5510204081634</v>
      </c>
      <c r="G30" s="145">
        <v>-0.7</v>
      </c>
      <c r="H30" s="143">
        <v>39</v>
      </c>
      <c r="I30" s="143">
        <v>38.200000000000003</v>
      </c>
      <c r="J30" s="143">
        <v>-2.1</v>
      </c>
    </row>
    <row r="31" spans="1:10" ht="15.75" customHeight="1" x14ac:dyDescent="0.2">
      <c r="A31" s="146" t="s">
        <v>98</v>
      </c>
      <c r="B31" s="147">
        <v>374.00000000000006</v>
      </c>
      <c r="C31" s="147">
        <v>392</v>
      </c>
      <c r="D31" s="147">
        <v>4.8</v>
      </c>
      <c r="E31" s="148">
        <v>1737.6943850267376</v>
      </c>
      <c r="F31" s="148">
        <v>1834.8640306122447</v>
      </c>
      <c r="G31" s="147">
        <v>5.6</v>
      </c>
      <c r="H31" s="147">
        <v>650</v>
      </c>
      <c r="I31" s="147">
        <v>719.3</v>
      </c>
      <c r="J31" s="147">
        <v>10.7</v>
      </c>
    </row>
    <row r="32" spans="1:10" ht="15.75" customHeight="1" x14ac:dyDescent="0.2">
      <c r="A32" s="142" t="s">
        <v>99</v>
      </c>
      <c r="B32" s="143">
        <v>286.70000000000005</v>
      </c>
      <c r="C32" s="143">
        <v>305.10000000000002</v>
      </c>
      <c r="D32" s="143">
        <v>6.4</v>
      </c>
      <c r="E32" s="144">
        <v>1614.2026508545514</v>
      </c>
      <c r="F32" s="144">
        <v>1726.9691904293675</v>
      </c>
      <c r="G32" s="145">
        <v>7</v>
      </c>
      <c r="H32" s="143">
        <v>462.8</v>
      </c>
      <c r="I32" s="143">
        <v>526.9</v>
      </c>
      <c r="J32" s="143">
        <v>13.9</v>
      </c>
    </row>
    <row r="33" spans="1:10" ht="15.75" customHeight="1" x14ac:dyDescent="0.2">
      <c r="A33" s="142" t="s">
        <v>100</v>
      </c>
      <c r="B33" s="143">
        <v>8.5</v>
      </c>
      <c r="C33" s="143">
        <v>8.3999999999999986</v>
      </c>
      <c r="D33" s="143">
        <v>-1.2</v>
      </c>
      <c r="E33" s="144">
        <v>1056.3999999999999</v>
      </c>
      <c r="F33" s="144">
        <v>1138.214285714286</v>
      </c>
      <c r="G33" s="145">
        <v>7.7</v>
      </c>
      <c r="H33" s="143">
        <v>9</v>
      </c>
      <c r="I33" s="143">
        <v>9.6</v>
      </c>
      <c r="J33" s="143">
        <v>6.7</v>
      </c>
    </row>
    <row r="34" spans="1:10" ht="15.75" customHeight="1" x14ac:dyDescent="0.2">
      <c r="A34" s="142" t="s">
        <v>101</v>
      </c>
      <c r="B34" s="143">
        <v>1</v>
      </c>
      <c r="C34" s="143">
        <v>0.7</v>
      </c>
      <c r="D34" s="143">
        <v>-30</v>
      </c>
      <c r="E34" s="144">
        <v>1354.3999999999999</v>
      </c>
      <c r="F34" s="144">
        <v>1106.0000000000002</v>
      </c>
      <c r="G34" s="145">
        <v>-18.3</v>
      </c>
      <c r="H34" s="143">
        <v>1.4</v>
      </c>
      <c r="I34" s="143">
        <v>0.8</v>
      </c>
      <c r="J34" s="143">
        <v>-42.9</v>
      </c>
    </row>
    <row r="35" spans="1:10" ht="15.75" customHeight="1" x14ac:dyDescent="0.2">
      <c r="A35" s="142" t="s">
        <v>102</v>
      </c>
      <c r="B35" s="143">
        <v>77.8</v>
      </c>
      <c r="C35" s="143">
        <v>77.8</v>
      </c>
      <c r="D35" s="143">
        <v>0</v>
      </c>
      <c r="E35" s="144">
        <v>2272.1336760925451</v>
      </c>
      <c r="F35" s="144">
        <v>2339.7583547557842</v>
      </c>
      <c r="G35" s="145">
        <v>3</v>
      </c>
      <c r="H35" s="143">
        <v>176.8</v>
      </c>
      <c r="I35" s="143">
        <v>182</v>
      </c>
      <c r="J35" s="143">
        <v>2.9</v>
      </c>
    </row>
    <row r="36" spans="1:10" ht="15.75" customHeight="1" x14ac:dyDescent="0.2">
      <c r="A36" s="146" t="s">
        <v>103</v>
      </c>
      <c r="B36" s="147">
        <v>595.1</v>
      </c>
      <c r="C36" s="147">
        <v>416.2</v>
      </c>
      <c r="D36" s="147">
        <v>-30.1</v>
      </c>
      <c r="E36" s="148">
        <v>1759.9408502772644</v>
      </c>
      <c r="F36" s="148">
        <v>1591.377943296492</v>
      </c>
      <c r="G36" s="147">
        <v>-9.6</v>
      </c>
      <c r="H36" s="147">
        <v>1047.3000000000002</v>
      </c>
      <c r="I36" s="147">
        <v>662.4</v>
      </c>
      <c r="J36" s="147">
        <v>-36.799999999999997</v>
      </c>
    </row>
    <row r="37" spans="1:10" ht="15.75" customHeight="1" x14ac:dyDescent="0.2">
      <c r="A37" s="142" t="s">
        <v>104</v>
      </c>
      <c r="B37" s="143">
        <v>491.7</v>
      </c>
      <c r="C37" s="143">
        <v>331.7</v>
      </c>
      <c r="D37" s="143">
        <v>-32.5</v>
      </c>
      <c r="E37" s="144">
        <v>1750.462273744153</v>
      </c>
      <c r="F37" s="144">
        <v>1555.8748869460355</v>
      </c>
      <c r="G37" s="145">
        <v>-11.1</v>
      </c>
      <c r="H37" s="143">
        <v>860.7</v>
      </c>
      <c r="I37" s="143">
        <v>516.1</v>
      </c>
      <c r="J37" s="143">
        <v>-40</v>
      </c>
    </row>
    <row r="38" spans="1:10" ht="15.75" customHeight="1" x14ac:dyDescent="0.2">
      <c r="A38" s="142" t="s">
        <v>105</v>
      </c>
      <c r="B38" s="143">
        <v>61</v>
      </c>
      <c r="C38" s="143">
        <v>51.2</v>
      </c>
      <c r="D38" s="143">
        <v>-16.100000000000001</v>
      </c>
      <c r="E38" s="144">
        <v>1854.7868852459017</v>
      </c>
      <c r="F38" s="144">
        <v>1850.78125</v>
      </c>
      <c r="G38" s="145">
        <v>-0.2</v>
      </c>
      <c r="H38" s="143">
        <v>113.1</v>
      </c>
      <c r="I38" s="143">
        <v>94.8</v>
      </c>
      <c r="J38" s="143">
        <v>-16.2</v>
      </c>
    </row>
    <row r="39" spans="1:10" ht="15.75" customHeight="1" x14ac:dyDescent="0.2">
      <c r="A39" s="142" t="s">
        <v>106</v>
      </c>
      <c r="B39" s="143">
        <v>42.4</v>
      </c>
      <c r="C39" s="143">
        <v>33.299999999999997</v>
      </c>
      <c r="D39" s="143">
        <v>-21.5</v>
      </c>
      <c r="E39" s="144">
        <v>1733.4080188679245</v>
      </c>
      <c r="F39" s="144">
        <v>1546.1801801801803</v>
      </c>
      <c r="G39" s="145">
        <v>-10.8</v>
      </c>
      <c r="H39" s="143">
        <v>73.5</v>
      </c>
      <c r="I39" s="143">
        <v>51.5</v>
      </c>
      <c r="J39" s="143">
        <v>-29.9</v>
      </c>
    </row>
    <row r="40" spans="1:10" ht="15.75" customHeight="1" x14ac:dyDescent="0.2">
      <c r="A40" s="146" t="s">
        <v>107</v>
      </c>
      <c r="B40" s="147">
        <v>1419.8999999999999</v>
      </c>
      <c r="C40" s="147">
        <v>1377.4999999999998</v>
      </c>
      <c r="D40" s="147">
        <v>-3</v>
      </c>
      <c r="E40" s="148">
        <v>507.72357208254112</v>
      </c>
      <c r="F40" s="148">
        <v>628.52868239564441</v>
      </c>
      <c r="G40" s="147">
        <v>23.8</v>
      </c>
      <c r="H40" s="147">
        <v>720.9</v>
      </c>
      <c r="I40" s="147">
        <v>865.80000000000007</v>
      </c>
      <c r="J40" s="147">
        <v>20.100000000000001</v>
      </c>
    </row>
    <row r="41" spans="1:10" ht="15.75" customHeight="1" x14ac:dyDescent="0.2">
      <c r="A41" s="146" t="s">
        <v>108</v>
      </c>
      <c r="B41" s="147">
        <v>1273.0999999999999</v>
      </c>
      <c r="C41" s="147">
        <v>1162.9000000000001</v>
      </c>
      <c r="D41" s="147">
        <v>-8.6999999999999993</v>
      </c>
      <c r="E41" s="148">
        <v>1837.2594454481189</v>
      </c>
      <c r="F41" s="148">
        <v>1792.1891822168714</v>
      </c>
      <c r="G41" s="147">
        <v>-2.5</v>
      </c>
      <c r="H41" s="147">
        <v>2339</v>
      </c>
      <c r="I41" s="147">
        <v>2084.1999999999998</v>
      </c>
      <c r="J41" s="147">
        <v>-10.9</v>
      </c>
    </row>
    <row r="42" spans="1:10" ht="15.75" customHeight="1" x14ac:dyDescent="0.2">
      <c r="A42" s="220" t="s">
        <v>58</v>
      </c>
      <c r="B42" s="221">
        <v>2693</v>
      </c>
      <c r="C42" s="221">
        <v>2540.3999999999996</v>
      </c>
      <c r="D42" s="221">
        <v>-5.7</v>
      </c>
      <c r="E42" s="222">
        <v>1136.2538804307464</v>
      </c>
      <c r="F42" s="222">
        <v>1161.2088883640372</v>
      </c>
      <c r="G42" s="221">
        <v>2.2000000000000002</v>
      </c>
      <c r="H42" s="221">
        <v>3059.9</v>
      </c>
      <c r="I42" s="221">
        <v>2950</v>
      </c>
      <c r="J42" s="221">
        <v>-3.6</v>
      </c>
    </row>
    <row r="43" spans="1:10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296"/>
      <c r="J43" s="153"/>
    </row>
    <row r="44" spans="1:10" ht="15.75" customHeight="1" x14ac:dyDescent="0.2">
      <c r="A44" s="25" t="s">
        <v>212</v>
      </c>
      <c r="B44" s="51"/>
      <c r="C44" s="51"/>
      <c r="D44" s="51"/>
      <c r="E44" s="51"/>
      <c r="F44" s="51"/>
      <c r="G44" s="51"/>
      <c r="H44" s="51"/>
      <c r="I44" s="51"/>
      <c r="J44" s="51"/>
    </row>
    <row r="45" spans="1:10" ht="20.25" customHeight="1" x14ac:dyDescent="0.2">
      <c r="A45" s="51"/>
      <c r="B45" s="51"/>
      <c r="C45" s="51"/>
      <c r="D45" s="51"/>
      <c r="E45" s="51"/>
      <c r="F45" s="51"/>
      <c r="G45" s="51"/>
      <c r="H45" s="51"/>
      <c r="I45" s="51"/>
      <c r="J45" s="51"/>
    </row>
    <row r="46" spans="1:10" ht="20.25" customHeight="1" x14ac:dyDescent="0.2">
      <c r="A46" s="51"/>
      <c r="B46" s="51"/>
      <c r="C46" s="51"/>
      <c r="D46" s="51"/>
      <c r="E46" s="51"/>
      <c r="F46" s="51"/>
      <c r="G46" s="51"/>
      <c r="H46" s="51"/>
      <c r="I46" s="51"/>
      <c r="J46" s="51"/>
    </row>
    <row r="47" spans="1:10" ht="20.25" customHeight="1" x14ac:dyDescent="0.2">
      <c r="A47" s="51"/>
      <c r="B47" s="51"/>
      <c r="C47" s="51"/>
      <c r="D47" s="51"/>
      <c r="E47" s="51"/>
      <c r="F47" s="51"/>
      <c r="G47" s="51"/>
      <c r="H47" s="51"/>
      <c r="I47" s="51"/>
      <c r="J47" s="51"/>
    </row>
    <row r="48" spans="1:10" ht="20.25" customHeight="1" x14ac:dyDescent="0.2">
      <c r="A48" s="51"/>
      <c r="B48" s="51"/>
      <c r="C48" s="51"/>
      <c r="D48" s="51"/>
      <c r="E48" s="51"/>
      <c r="F48" s="51"/>
      <c r="G48" s="51"/>
      <c r="H48" s="51"/>
      <c r="I48" s="51"/>
      <c r="J48" s="51"/>
    </row>
    <row r="49" spans="1:10" ht="20.25" customHeight="1" x14ac:dyDescent="0.2">
      <c r="A49" s="51"/>
      <c r="B49" s="51"/>
      <c r="C49" s="51"/>
      <c r="D49" s="51"/>
      <c r="E49" s="51"/>
      <c r="F49" s="51"/>
      <c r="G49" s="51"/>
      <c r="H49" s="51"/>
      <c r="I49" s="51"/>
      <c r="J49" s="51"/>
    </row>
    <row r="50" spans="1:10" ht="20.25" customHeight="1" x14ac:dyDescent="0.2">
      <c r="A50" s="51"/>
      <c r="B50" s="51"/>
      <c r="C50" s="51"/>
      <c r="D50" s="51"/>
      <c r="E50" s="51"/>
      <c r="F50" s="51"/>
      <c r="G50" s="51"/>
      <c r="H50" s="51"/>
      <c r="I50" s="51"/>
      <c r="J50" s="51"/>
    </row>
    <row r="51" spans="1:10" ht="20.25" customHeight="1" x14ac:dyDescent="0.2">
      <c r="A51" s="51"/>
      <c r="B51" s="51"/>
      <c r="C51" s="51"/>
      <c r="D51" s="51"/>
      <c r="E51" s="51"/>
      <c r="F51" s="51"/>
      <c r="G51" s="51"/>
      <c r="H51" s="51"/>
      <c r="I51" s="51"/>
      <c r="J51" s="51"/>
    </row>
    <row r="52" spans="1:10" ht="20.25" customHeight="1" x14ac:dyDescent="0.2">
      <c r="A52" s="51"/>
      <c r="B52" s="51"/>
      <c r="C52" s="51"/>
      <c r="D52" s="51"/>
      <c r="E52" s="51"/>
      <c r="F52" s="51"/>
      <c r="G52" s="51"/>
      <c r="H52" s="51"/>
      <c r="I52" s="51"/>
      <c r="J52" s="51"/>
    </row>
    <row r="53" spans="1:10" ht="20.25" customHeight="1" x14ac:dyDescent="0.2">
      <c r="A53" s="51"/>
      <c r="B53" s="51"/>
      <c r="C53" s="51"/>
      <c r="D53" s="51"/>
      <c r="E53" s="51"/>
      <c r="F53" s="51"/>
      <c r="G53" s="51"/>
      <c r="H53" s="51"/>
      <c r="I53" s="51"/>
      <c r="J53" s="51"/>
    </row>
    <row r="54" spans="1:10" ht="20.25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</row>
    <row r="55" spans="1:10" ht="20.25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</row>
    <row r="56" spans="1:10" ht="20.25" customHeight="1" x14ac:dyDescent="0.2">
      <c r="A56" s="51"/>
      <c r="B56" s="51"/>
      <c r="C56" s="51"/>
      <c r="D56" s="51"/>
      <c r="E56" s="51"/>
      <c r="F56" s="51"/>
      <c r="G56" s="51"/>
      <c r="H56" s="51"/>
      <c r="I56" s="51"/>
      <c r="J56" s="51"/>
    </row>
    <row r="57" spans="1:10" ht="20.25" customHeight="1" x14ac:dyDescent="0.2">
      <c r="A57" s="51"/>
      <c r="B57" s="51"/>
      <c r="C57" s="51"/>
      <c r="D57" s="51"/>
      <c r="E57" s="51"/>
      <c r="F57" s="51"/>
      <c r="G57" s="51"/>
      <c r="H57" s="51"/>
      <c r="I57" s="51"/>
      <c r="J57" s="51"/>
    </row>
    <row r="58" spans="1:10" ht="20.25" customHeight="1" x14ac:dyDescent="0.2">
      <c r="A58" s="51"/>
      <c r="B58" s="51"/>
      <c r="C58" s="51"/>
      <c r="D58" s="51"/>
      <c r="E58" s="51"/>
      <c r="F58" s="51"/>
      <c r="G58" s="51"/>
      <c r="H58" s="51"/>
      <c r="I58" s="51"/>
      <c r="J58" s="51"/>
    </row>
    <row r="59" spans="1:10" ht="20.2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</row>
    <row r="60" spans="1:10" ht="20.25" customHeight="1" x14ac:dyDescent="0.2">
      <c r="A60" s="51"/>
      <c r="B60" s="51"/>
      <c r="C60" s="51"/>
      <c r="D60" s="51"/>
      <c r="E60" s="51"/>
      <c r="F60" s="51"/>
      <c r="G60" s="51"/>
      <c r="H60" s="51"/>
      <c r="I60" s="51"/>
      <c r="J60" s="51"/>
    </row>
    <row r="61" spans="1:10" ht="20.25" customHeight="1" x14ac:dyDescent="0.2">
      <c r="A61" s="51"/>
      <c r="B61" s="51"/>
      <c r="C61" s="51"/>
      <c r="D61" s="51"/>
      <c r="E61" s="51"/>
      <c r="F61" s="51"/>
      <c r="G61" s="51"/>
      <c r="H61" s="51"/>
      <c r="I61" s="51"/>
      <c r="J61" s="51"/>
    </row>
    <row r="62" spans="1:10" ht="20.25" customHeight="1" x14ac:dyDescent="0.2">
      <c r="A62" s="51"/>
      <c r="B62" s="51"/>
      <c r="C62" s="51"/>
      <c r="D62" s="51"/>
      <c r="E62" s="51"/>
      <c r="F62" s="51"/>
      <c r="G62" s="51"/>
      <c r="H62" s="51"/>
      <c r="I62" s="51"/>
      <c r="J62" s="51"/>
    </row>
    <row r="63" spans="1:10" ht="20.25" customHeight="1" x14ac:dyDescent="0.2">
      <c r="A63" s="51"/>
      <c r="B63" s="51"/>
      <c r="C63" s="51"/>
      <c r="D63" s="51"/>
      <c r="E63" s="51"/>
      <c r="F63" s="51"/>
      <c r="G63" s="51"/>
      <c r="H63" s="51"/>
      <c r="I63" s="51"/>
      <c r="J63" s="51"/>
    </row>
    <row r="64" spans="1:10" ht="20.25" customHeight="1" x14ac:dyDescent="0.2">
      <c r="A64" s="51"/>
      <c r="B64" s="51"/>
      <c r="C64" s="51"/>
      <c r="D64" s="51"/>
      <c r="E64" s="51"/>
      <c r="F64" s="51"/>
      <c r="G64" s="51"/>
      <c r="H64" s="51"/>
      <c r="I64" s="51"/>
      <c r="J64" s="51"/>
    </row>
    <row r="65" spans="1:10" ht="20.25" customHeight="1" x14ac:dyDescent="0.2">
      <c r="A65" s="51"/>
      <c r="B65" s="51"/>
      <c r="C65" s="51"/>
      <c r="D65" s="51"/>
      <c r="E65" s="51"/>
      <c r="F65" s="51"/>
      <c r="G65" s="51"/>
      <c r="H65" s="51"/>
      <c r="I65" s="51"/>
      <c r="J65" s="51"/>
    </row>
    <row r="66" spans="1:10" ht="20.25" customHeight="1" x14ac:dyDescent="0.2">
      <c r="A66" s="51"/>
      <c r="B66" s="51"/>
      <c r="C66" s="51"/>
      <c r="D66" s="51"/>
      <c r="E66" s="51"/>
      <c r="F66" s="51"/>
      <c r="G66" s="51"/>
      <c r="H66" s="51"/>
      <c r="I66" s="51"/>
      <c r="J66" s="51"/>
    </row>
    <row r="67" spans="1:10" ht="20.25" customHeight="1" x14ac:dyDescent="0.2">
      <c r="A67" s="51"/>
      <c r="B67" s="51"/>
      <c r="C67" s="51"/>
      <c r="D67" s="51"/>
      <c r="E67" s="51"/>
      <c r="F67" s="51"/>
      <c r="G67" s="51"/>
      <c r="H67" s="51"/>
      <c r="I67" s="51"/>
      <c r="J67" s="51"/>
    </row>
    <row r="68" spans="1:10" ht="20.25" customHeight="1" x14ac:dyDescent="0.2">
      <c r="A68" s="51"/>
      <c r="B68" s="51"/>
      <c r="C68" s="51"/>
      <c r="D68" s="51"/>
      <c r="E68" s="51"/>
      <c r="F68" s="51"/>
      <c r="G68" s="51"/>
      <c r="H68" s="51"/>
      <c r="I68" s="51"/>
      <c r="J68" s="51"/>
    </row>
    <row r="69" spans="1:10" ht="20.25" customHeight="1" x14ac:dyDescent="0.2">
      <c r="A69" s="51"/>
      <c r="B69" s="51"/>
      <c r="C69" s="51"/>
      <c r="D69" s="51"/>
      <c r="E69" s="51"/>
      <c r="F69" s="51"/>
      <c r="G69" s="51"/>
      <c r="H69" s="51"/>
      <c r="I69" s="51"/>
      <c r="J69" s="51"/>
    </row>
    <row r="70" spans="1:10" ht="20.25" customHeight="1" x14ac:dyDescent="0.2">
      <c r="A70" s="51"/>
      <c r="B70" s="51"/>
      <c r="C70" s="51"/>
      <c r="D70" s="51"/>
      <c r="E70" s="51"/>
      <c r="F70" s="51"/>
      <c r="G70" s="51"/>
      <c r="H70" s="51"/>
      <c r="I70" s="51"/>
      <c r="J70" s="51"/>
    </row>
    <row r="71" spans="1:10" ht="20.25" customHeight="1" x14ac:dyDescent="0.2">
      <c r="A71" s="51"/>
      <c r="B71" s="51"/>
      <c r="C71" s="51"/>
      <c r="D71" s="51"/>
      <c r="E71" s="51"/>
      <c r="F71" s="51"/>
      <c r="G71" s="51"/>
      <c r="H71" s="51"/>
      <c r="I71" s="51"/>
      <c r="J71" s="51"/>
    </row>
    <row r="72" spans="1:10" ht="20.25" customHeight="1" x14ac:dyDescent="0.2">
      <c r="A72" s="51"/>
      <c r="B72" s="51"/>
      <c r="C72" s="51"/>
      <c r="D72" s="51"/>
      <c r="E72" s="51"/>
      <c r="F72" s="51"/>
      <c r="G72" s="51"/>
      <c r="H72" s="51"/>
      <c r="I72" s="51"/>
      <c r="J72" s="51"/>
    </row>
    <row r="73" spans="1:10" ht="20.25" customHeight="1" x14ac:dyDescent="0.2">
      <c r="A73" s="51"/>
      <c r="B73" s="51"/>
      <c r="C73" s="51"/>
      <c r="D73" s="51"/>
      <c r="E73" s="51"/>
      <c r="F73" s="51"/>
      <c r="G73" s="51"/>
      <c r="H73" s="51"/>
      <c r="I73" s="51"/>
      <c r="J73" s="51"/>
    </row>
    <row r="74" spans="1:10" ht="20.25" customHeight="1" x14ac:dyDescent="0.2">
      <c r="A74" s="51"/>
      <c r="B74" s="51"/>
      <c r="C74" s="51"/>
      <c r="D74" s="51"/>
      <c r="E74" s="51"/>
      <c r="F74" s="51"/>
      <c r="G74" s="51"/>
      <c r="H74" s="51"/>
      <c r="I74" s="51"/>
      <c r="J74" s="51"/>
    </row>
    <row r="75" spans="1:10" ht="20.25" customHeight="1" x14ac:dyDescent="0.2">
      <c r="A75" s="51"/>
      <c r="B75" s="51"/>
      <c r="C75" s="51"/>
      <c r="D75" s="51"/>
      <c r="E75" s="51"/>
      <c r="F75" s="51"/>
      <c r="G75" s="51"/>
      <c r="H75" s="51"/>
      <c r="I75" s="51"/>
      <c r="J75" s="51"/>
    </row>
    <row r="76" spans="1:10" ht="20.25" customHeight="1" x14ac:dyDescent="0.2">
      <c r="A76" s="51"/>
      <c r="B76" s="51"/>
      <c r="C76" s="51"/>
      <c r="D76" s="51"/>
      <c r="E76" s="51"/>
      <c r="F76" s="51"/>
      <c r="G76" s="51"/>
      <c r="H76" s="51"/>
      <c r="I76" s="51"/>
      <c r="J76" s="51"/>
    </row>
    <row r="77" spans="1:10" ht="20.25" customHeight="1" x14ac:dyDescent="0.2">
      <c r="A77" s="51"/>
      <c r="B77" s="51"/>
      <c r="C77" s="51"/>
      <c r="D77" s="51"/>
      <c r="E77" s="51"/>
      <c r="F77" s="51"/>
      <c r="G77" s="51"/>
      <c r="H77" s="51"/>
      <c r="I77" s="51"/>
      <c r="J77" s="51"/>
    </row>
    <row r="78" spans="1:10" ht="20.25" customHeight="1" x14ac:dyDescent="0.2">
      <c r="A78" s="51"/>
      <c r="B78" s="51"/>
      <c r="C78" s="51"/>
      <c r="D78" s="51"/>
      <c r="E78" s="51"/>
      <c r="F78" s="51"/>
      <c r="G78" s="51"/>
      <c r="H78" s="51"/>
      <c r="I78" s="51"/>
      <c r="J78" s="51"/>
    </row>
    <row r="79" spans="1:10" ht="20.25" customHeight="1" x14ac:dyDescent="0.2">
      <c r="A79" s="51"/>
      <c r="B79" s="51"/>
      <c r="C79" s="51"/>
      <c r="D79" s="51"/>
      <c r="E79" s="51"/>
      <c r="F79" s="51"/>
      <c r="G79" s="51"/>
      <c r="H79" s="51"/>
      <c r="I79" s="51"/>
      <c r="J79" s="51"/>
    </row>
    <row r="80" spans="1:10" ht="20.25" customHeight="1" x14ac:dyDescent="0.2">
      <c r="A80" s="51"/>
      <c r="B80" s="51"/>
      <c r="C80" s="51"/>
      <c r="D80" s="51"/>
      <c r="E80" s="51"/>
      <c r="F80" s="51"/>
      <c r="G80" s="51"/>
      <c r="H80" s="51"/>
      <c r="I80" s="51"/>
      <c r="J80" s="51"/>
    </row>
    <row r="81" spans="1:10" ht="20.25" customHeight="1" x14ac:dyDescent="0.2">
      <c r="A81" s="51"/>
      <c r="B81" s="51"/>
      <c r="C81" s="51"/>
      <c r="D81" s="51"/>
      <c r="E81" s="51"/>
      <c r="F81" s="51"/>
      <c r="G81" s="51"/>
      <c r="H81" s="51"/>
      <c r="I81" s="51"/>
      <c r="J81" s="51"/>
    </row>
    <row r="82" spans="1:10" ht="20.25" customHeight="1" x14ac:dyDescent="0.2">
      <c r="A82" s="51"/>
      <c r="B82" s="51"/>
      <c r="C82" s="51"/>
      <c r="D82" s="51"/>
      <c r="E82" s="51"/>
      <c r="F82" s="51"/>
      <c r="G82" s="51"/>
      <c r="H82" s="51"/>
      <c r="I82" s="51"/>
      <c r="J82" s="51"/>
    </row>
    <row r="83" spans="1:10" ht="20.25" customHeight="1" x14ac:dyDescent="0.2">
      <c r="A83" s="51"/>
      <c r="B83" s="51"/>
      <c r="C83" s="51"/>
      <c r="D83" s="51"/>
      <c r="E83" s="51"/>
      <c r="F83" s="51"/>
      <c r="G83" s="51"/>
      <c r="H83" s="51"/>
      <c r="I83" s="51"/>
      <c r="J83" s="51"/>
    </row>
    <row r="84" spans="1:10" ht="20.25" customHeight="1" x14ac:dyDescent="0.2">
      <c r="A84" s="51"/>
      <c r="B84" s="51"/>
      <c r="C84" s="51"/>
      <c r="D84" s="51"/>
      <c r="E84" s="51"/>
      <c r="F84" s="51"/>
      <c r="G84" s="51"/>
      <c r="H84" s="51"/>
      <c r="I84" s="51"/>
      <c r="J84" s="51"/>
    </row>
    <row r="85" spans="1:10" ht="20.25" customHeight="1" x14ac:dyDescent="0.2">
      <c r="A85" s="51"/>
      <c r="B85" s="51"/>
      <c r="C85" s="51"/>
      <c r="D85" s="51"/>
      <c r="E85" s="51"/>
      <c r="F85" s="51"/>
      <c r="G85" s="51"/>
      <c r="H85" s="51"/>
      <c r="I85" s="51"/>
      <c r="J85" s="51"/>
    </row>
    <row r="86" spans="1:10" ht="20.25" customHeight="1" x14ac:dyDescent="0.2">
      <c r="A86" s="51"/>
      <c r="B86" s="51"/>
      <c r="C86" s="51"/>
      <c r="D86" s="51"/>
      <c r="E86" s="51"/>
      <c r="F86" s="51"/>
      <c r="G86" s="51"/>
      <c r="H86" s="51"/>
      <c r="I86" s="51"/>
      <c r="J86" s="51"/>
    </row>
    <row r="87" spans="1:10" ht="20.25" customHeight="1" x14ac:dyDescent="0.2">
      <c r="A87" s="51"/>
      <c r="B87" s="51"/>
      <c r="C87" s="51"/>
      <c r="D87" s="51"/>
      <c r="E87" s="51"/>
      <c r="F87" s="51"/>
      <c r="G87" s="51"/>
      <c r="H87" s="51"/>
      <c r="I87" s="51"/>
      <c r="J87" s="51"/>
    </row>
    <row r="88" spans="1:10" ht="20.25" customHeight="1" x14ac:dyDescent="0.2">
      <c r="A88" s="51"/>
      <c r="B88" s="51"/>
      <c r="C88" s="51"/>
      <c r="D88" s="51"/>
      <c r="E88" s="51"/>
      <c r="F88" s="51"/>
      <c r="G88" s="51"/>
      <c r="H88" s="51"/>
      <c r="I88" s="51"/>
      <c r="J88" s="51"/>
    </row>
    <row r="89" spans="1:10" ht="20.25" customHeight="1" x14ac:dyDescent="0.2">
      <c r="A89" s="51"/>
      <c r="B89" s="51"/>
      <c r="C89" s="51"/>
      <c r="D89" s="51"/>
      <c r="E89" s="51"/>
      <c r="F89" s="51"/>
      <c r="G89" s="51"/>
      <c r="H89" s="51"/>
      <c r="I89" s="51"/>
      <c r="J89" s="51"/>
    </row>
    <row r="90" spans="1:10" ht="20.25" customHeight="1" x14ac:dyDescent="0.2">
      <c r="A90" s="51"/>
      <c r="B90" s="51"/>
      <c r="C90" s="51"/>
      <c r="D90" s="51"/>
      <c r="E90" s="51"/>
      <c r="F90" s="51"/>
      <c r="G90" s="51"/>
      <c r="H90" s="51"/>
      <c r="I90" s="51"/>
      <c r="J90" s="51"/>
    </row>
    <row r="91" spans="1:10" ht="20.25" customHeight="1" x14ac:dyDescent="0.2">
      <c r="A91" s="51"/>
      <c r="B91" s="51"/>
      <c r="C91" s="51"/>
      <c r="D91" s="51"/>
      <c r="E91" s="51"/>
      <c r="F91" s="51"/>
      <c r="G91" s="51"/>
      <c r="H91" s="51"/>
      <c r="I91" s="51"/>
      <c r="J91" s="51"/>
    </row>
    <row r="92" spans="1:10" ht="20.25" customHeight="1" x14ac:dyDescent="0.2">
      <c r="A92" s="51"/>
      <c r="B92" s="51"/>
      <c r="C92" s="51"/>
      <c r="D92" s="51"/>
      <c r="E92" s="51"/>
      <c r="F92" s="51"/>
      <c r="G92" s="51"/>
      <c r="H92" s="51"/>
      <c r="I92" s="51"/>
      <c r="J92" s="51"/>
    </row>
    <row r="93" spans="1:10" ht="20.25" customHeight="1" x14ac:dyDescent="0.2">
      <c r="A93" s="51"/>
      <c r="B93" s="51"/>
      <c r="C93" s="51"/>
      <c r="D93" s="51"/>
      <c r="E93" s="51"/>
      <c r="F93" s="51"/>
      <c r="G93" s="51"/>
      <c r="H93" s="51"/>
      <c r="I93" s="51"/>
      <c r="J93" s="51"/>
    </row>
    <row r="94" spans="1:10" ht="20.25" customHeight="1" x14ac:dyDescent="0.2">
      <c r="A94" s="51"/>
      <c r="B94" s="51"/>
      <c r="C94" s="51"/>
      <c r="D94" s="51"/>
      <c r="E94" s="51"/>
      <c r="F94" s="51"/>
      <c r="G94" s="51"/>
      <c r="H94" s="51"/>
      <c r="I94" s="51"/>
      <c r="J94" s="51"/>
    </row>
    <row r="95" spans="1:10" ht="20.25" customHeight="1" x14ac:dyDescent="0.2">
      <c r="A95" s="51"/>
      <c r="B95" s="51"/>
      <c r="C95" s="51"/>
      <c r="D95" s="51"/>
      <c r="E95" s="51"/>
      <c r="F95" s="51"/>
      <c r="G95" s="51"/>
      <c r="H95" s="51"/>
      <c r="I95" s="51"/>
      <c r="J95" s="51"/>
    </row>
    <row r="96" spans="1:10" ht="20.25" customHeight="1" x14ac:dyDescent="0.2">
      <c r="A96" s="51"/>
      <c r="B96" s="51"/>
      <c r="C96" s="51"/>
      <c r="D96" s="51"/>
      <c r="E96" s="51"/>
      <c r="F96" s="51"/>
      <c r="G96" s="51"/>
      <c r="H96" s="51"/>
      <c r="I96" s="51"/>
      <c r="J96" s="51"/>
    </row>
    <row r="97" spans="1:10" ht="20.25" customHeight="1" x14ac:dyDescent="0.2">
      <c r="A97" s="51"/>
      <c r="B97" s="51"/>
      <c r="C97" s="51"/>
      <c r="D97" s="51"/>
      <c r="E97" s="51"/>
      <c r="F97" s="51"/>
      <c r="G97" s="51"/>
      <c r="H97" s="51"/>
      <c r="I97" s="51"/>
      <c r="J97" s="51"/>
    </row>
    <row r="98" spans="1:10" ht="20.25" customHeight="1" x14ac:dyDescent="0.2">
      <c r="A98" s="51"/>
      <c r="B98" s="51"/>
      <c r="C98" s="51"/>
      <c r="D98" s="51"/>
      <c r="E98" s="51"/>
      <c r="F98" s="51"/>
      <c r="G98" s="51"/>
      <c r="H98" s="51"/>
      <c r="I98" s="51"/>
      <c r="J98" s="51"/>
    </row>
    <row r="99" spans="1:10" ht="20.25" customHeight="1" x14ac:dyDescent="0.2">
      <c r="A99" s="51"/>
      <c r="B99" s="51"/>
      <c r="C99" s="51"/>
      <c r="D99" s="51"/>
      <c r="E99" s="51"/>
      <c r="F99" s="51"/>
      <c r="G99" s="51"/>
      <c r="H99" s="51"/>
      <c r="I99" s="51"/>
      <c r="J99" s="51"/>
    </row>
    <row r="100" spans="1:10" ht="20.25" customHeight="1" x14ac:dyDescent="0.2">
      <c r="A100" s="51"/>
      <c r="B100" s="51"/>
      <c r="C100" s="51"/>
      <c r="D100" s="51"/>
      <c r="E100" s="51"/>
      <c r="F100" s="51"/>
      <c r="G100" s="51"/>
      <c r="H100" s="51"/>
      <c r="I100" s="51"/>
      <c r="J100" s="51"/>
    </row>
  </sheetData>
  <mergeCells count="4"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7" width="11.42578125" style="126" customWidth="1"/>
  </cols>
  <sheetData>
    <row r="1" spans="1:20" ht="33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22.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0.2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20" ht="20.25" customHeight="1" x14ac:dyDescent="0.2">
      <c r="A6" s="452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20" ht="20.25" customHeight="1" x14ac:dyDescent="0.2">
      <c r="A7" s="493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20" ht="15.75" customHeight="1" x14ac:dyDescent="0.2">
      <c r="A8" s="139" t="s">
        <v>75</v>
      </c>
      <c r="B8" s="140">
        <v>202.8</v>
      </c>
      <c r="C8" s="140">
        <v>154.80000000000001</v>
      </c>
      <c r="D8" s="140">
        <v>-23.7</v>
      </c>
      <c r="E8" s="141">
        <v>534.84615384615381</v>
      </c>
      <c r="F8" s="141">
        <v>512</v>
      </c>
      <c r="G8" s="140">
        <v>-4.3</v>
      </c>
      <c r="H8" s="140">
        <v>108.5</v>
      </c>
      <c r="I8" s="140">
        <v>79.3</v>
      </c>
      <c r="J8" s="140">
        <v>-26.9</v>
      </c>
    </row>
    <row r="9" spans="1:2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2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2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2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2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20" ht="15.75" customHeight="1" x14ac:dyDescent="0.2">
      <c r="A14" s="86" t="s">
        <v>81</v>
      </c>
      <c r="B14" s="87">
        <v>112.8</v>
      </c>
      <c r="C14" s="87">
        <v>112.9</v>
      </c>
      <c r="D14" s="87">
        <v>0.1</v>
      </c>
      <c r="E14" s="88">
        <v>506</v>
      </c>
      <c r="F14" s="88">
        <v>512</v>
      </c>
      <c r="G14" s="87">
        <v>1.2</v>
      </c>
      <c r="H14" s="87">
        <v>57.1</v>
      </c>
      <c r="I14" s="87">
        <v>57.8</v>
      </c>
      <c r="J14" s="87">
        <v>1.2</v>
      </c>
      <c r="R14" s="126"/>
      <c r="S14" s="126"/>
      <c r="T14" s="126"/>
    </row>
    <row r="15" spans="1:20" ht="15.75" customHeight="1" x14ac:dyDescent="0.2">
      <c r="A15" s="86" t="s">
        <v>82</v>
      </c>
      <c r="B15" s="87">
        <v>90</v>
      </c>
      <c r="C15" s="87">
        <v>41.9</v>
      </c>
      <c r="D15" s="87">
        <v>-53.4</v>
      </c>
      <c r="E15" s="88">
        <v>571</v>
      </c>
      <c r="F15" s="88">
        <v>512</v>
      </c>
      <c r="G15" s="87">
        <v>-10.3</v>
      </c>
      <c r="H15" s="87">
        <v>51.4</v>
      </c>
      <c r="I15" s="87">
        <v>21.5</v>
      </c>
      <c r="J15" s="87">
        <v>-58.2</v>
      </c>
      <c r="R15" s="126"/>
      <c r="S15" s="126"/>
      <c r="T15" s="126"/>
    </row>
    <row r="16" spans="1:20" ht="15.75" hidden="1" customHeight="1" x14ac:dyDescent="0.2">
      <c r="A16" s="146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2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.75" hidden="1" customHeight="1" x14ac:dyDescent="0.2">
      <c r="A22" s="142" t="s">
        <v>89</v>
      </c>
      <c r="B22" s="143">
        <v>0</v>
      </c>
      <c r="C22" s="143">
        <v>0</v>
      </c>
      <c r="D22" s="143">
        <v>0</v>
      </c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.75" hidden="1" customHeight="1" x14ac:dyDescent="0.2">
      <c r="A23" s="142" t="s">
        <v>90</v>
      </c>
      <c r="B23" s="143">
        <v>0</v>
      </c>
      <c r="C23" s="143">
        <v>0</v>
      </c>
      <c r="D23" s="143">
        <v>0</v>
      </c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.75" hidden="1" customHeight="1" x14ac:dyDescent="0.2">
      <c r="A24" s="142" t="s">
        <v>91</v>
      </c>
      <c r="B24" s="143">
        <v>0</v>
      </c>
      <c r="C24" s="143">
        <v>0</v>
      </c>
      <c r="D24" s="143">
        <v>0</v>
      </c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hidden="1" customHeight="1" x14ac:dyDescent="0.2">
      <c r="A25" s="142" t="s">
        <v>92</v>
      </c>
      <c r="B25" s="143">
        <v>0</v>
      </c>
      <c r="C25" s="143">
        <v>0</v>
      </c>
      <c r="D25" s="143">
        <v>0</v>
      </c>
      <c r="E25" s="144">
        <v>0</v>
      </c>
      <c r="F25" s="144">
        <v>0</v>
      </c>
      <c r="G25" s="145">
        <v>0</v>
      </c>
      <c r="H25" s="143">
        <v>0</v>
      </c>
      <c r="I25" s="143">
        <v>0</v>
      </c>
      <c r="J25" s="143">
        <v>0</v>
      </c>
    </row>
    <row r="26" spans="1:20" ht="15.75" customHeight="1" x14ac:dyDescent="0.2">
      <c r="A26" s="146" t="s">
        <v>93</v>
      </c>
      <c r="B26" s="147">
        <v>699</v>
      </c>
      <c r="C26" s="147">
        <v>415.4</v>
      </c>
      <c r="D26" s="147">
        <v>-40.6</v>
      </c>
      <c r="E26" s="148">
        <v>718.74105865522176</v>
      </c>
      <c r="F26" s="148">
        <v>629.73856523832455</v>
      </c>
      <c r="G26" s="147">
        <v>-12.4</v>
      </c>
      <c r="H26" s="147">
        <v>502.4</v>
      </c>
      <c r="I26" s="147">
        <v>261.60000000000002</v>
      </c>
      <c r="J26" s="147">
        <v>-47.9</v>
      </c>
    </row>
    <row r="27" spans="1:20" ht="15.75" customHeight="1" x14ac:dyDescent="0.2">
      <c r="A27" s="86" t="s">
        <v>94</v>
      </c>
      <c r="B27" s="87">
        <v>695</v>
      </c>
      <c r="C27" s="87">
        <v>411.4</v>
      </c>
      <c r="D27" s="87">
        <v>-40.799999999999997</v>
      </c>
      <c r="E27" s="88">
        <v>720</v>
      </c>
      <c r="F27" s="88">
        <v>631</v>
      </c>
      <c r="G27" s="87">
        <v>-12.4</v>
      </c>
      <c r="H27" s="87">
        <v>500.4</v>
      </c>
      <c r="I27" s="87">
        <v>259.60000000000002</v>
      </c>
      <c r="J27" s="87">
        <v>-48.1</v>
      </c>
      <c r="R27" s="126"/>
      <c r="S27" s="126"/>
      <c r="T27" s="126"/>
    </row>
    <row r="28" spans="1:2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customHeight="1" x14ac:dyDescent="0.2">
      <c r="A29" s="142" t="s">
        <v>96</v>
      </c>
      <c r="B29" s="143">
        <v>4</v>
      </c>
      <c r="C29" s="143">
        <v>4</v>
      </c>
      <c r="D29" s="143">
        <v>0</v>
      </c>
      <c r="E29" s="144">
        <v>500</v>
      </c>
      <c r="F29" s="144">
        <v>500</v>
      </c>
      <c r="G29" s="145">
        <v>0</v>
      </c>
      <c r="H29" s="143">
        <v>2</v>
      </c>
      <c r="I29" s="143">
        <v>2</v>
      </c>
      <c r="J29" s="143">
        <v>0</v>
      </c>
    </row>
    <row r="30" spans="1:2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2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202.8</v>
      </c>
      <c r="C40" s="147">
        <v>154.80000000000001</v>
      </c>
      <c r="D40" s="147">
        <v>-23.7</v>
      </c>
      <c r="E40" s="148">
        <v>534.84615384615381</v>
      </c>
      <c r="F40" s="148">
        <v>512</v>
      </c>
      <c r="G40" s="147">
        <v>-4.3</v>
      </c>
      <c r="H40" s="147">
        <v>108.5</v>
      </c>
      <c r="I40" s="147">
        <v>79.3</v>
      </c>
      <c r="J40" s="147">
        <v>-26.9</v>
      </c>
    </row>
    <row r="41" spans="1:10" ht="15.75" customHeight="1" x14ac:dyDescent="0.2">
      <c r="A41" s="146" t="s">
        <v>108</v>
      </c>
      <c r="B41" s="147">
        <v>699</v>
      </c>
      <c r="C41" s="147">
        <v>415.4</v>
      </c>
      <c r="D41" s="147">
        <v>-40.6</v>
      </c>
      <c r="E41" s="148">
        <v>718.74105865522176</v>
      </c>
      <c r="F41" s="148">
        <v>629.73856523832455</v>
      </c>
      <c r="G41" s="147">
        <v>-12.4</v>
      </c>
      <c r="H41" s="147">
        <v>502.4</v>
      </c>
      <c r="I41" s="147">
        <v>261.60000000000002</v>
      </c>
      <c r="J41" s="147">
        <v>-47.9</v>
      </c>
    </row>
    <row r="42" spans="1:10" ht="15.75" customHeight="1" x14ac:dyDescent="0.2">
      <c r="A42" s="149" t="s">
        <v>58</v>
      </c>
      <c r="B42" s="150">
        <v>901.8</v>
      </c>
      <c r="C42" s="150">
        <v>570.20000000000005</v>
      </c>
      <c r="D42" s="150">
        <v>-36.799999999999997</v>
      </c>
      <c r="E42" s="151">
        <v>677.38611665557778</v>
      </c>
      <c r="F42" s="151">
        <v>597.77446509996491</v>
      </c>
      <c r="G42" s="150">
        <v>-11.8</v>
      </c>
      <c r="H42" s="150">
        <v>610.9</v>
      </c>
      <c r="I42" s="150">
        <v>340.90000000000003</v>
      </c>
      <c r="J42" s="150">
        <v>-44.2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212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4257812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6" width="11.42578125" style="126" customWidth="1"/>
  </cols>
  <sheetData>
    <row r="1" spans="1:10" ht="26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21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" ht="20.25" customHeight="1" x14ac:dyDescent="0.2">
      <c r="A6" s="452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93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.75" hidden="1" customHeight="1" x14ac:dyDescent="0.2">
      <c r="A9" s="199" t="s">
        <v>76</v>
      </c>
      <c r="B9" s="200">
        <v>0</v>
      </c>
      <c r="C9" s="200">
        <v>0</v>
      </c>
      <c r="D9" s="201">
        <v>0</v>
      </c>
      <c r="E9" s="202">
        <v>0</v>
      </c>
      <c r="F9" s="202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.75" hidden="1" customHeight="1" x14ac:dyDescent="0.2">
      <c r="A10" s="199" t="s">
        <v>77</v>
      </c>
      <c r="B10" s="200">
        <v>0</v>
      </c>
      <c r="C10" s="200">
        <v>0</v>
      </c>
      <c r="D10" s="201">
        <v>0</v>
      </c>
      <c r="E10" s="202">
        <v>0</v>
      </c>
      <c r="F10" s="202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.75" hidden="1" customHeight="1" x14ac:dyDescent="0.2">
      <c r="A11" s="199" t="s">
        <v>78</v>
      </c>
      <c r="B11" s="200">
        <v>0</v>
      </c>
      <c r="C11" s="200">
        <v>0</v>
      </c>
      <c r="D11" s="201">
        <v>0</v>
      </c>
      <c r="E11" s="202">
        <v>0</v>
      </c>
      <c r="F11" s="202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.75" hidden="1" customHeight="1" x14ac:dyDescent="0.2">
      <c r="A12" s="199" t="s">
        <v>79</v>
      </c>
      <c r="B12" s="200">
        <v>0</v>
      </c>
      <c r="C12" s="200">
        <v>0</v>
      </c>
      <c r="D12" s="201">
        <v>0</v>
      </c>
      <c r="E12" s="202">
        <v>0</v>
      </c>
      <c r="F12" s="202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.75" hidden="1" customHeight="1" x14ac:dyDescent="0.2">
      <c r="A13" s="199" t="s">
        <v>80</v>
      </c>
      <c r="B13" s="200">
        <v>0</v>
      </c>
      <c r="C13" s="200">
        <v>0</v>
      </c>
      <c r="D13" s="201">
        <v>0</v>
      </c>
      <c r="E13" s="202">
        <v>0</v>
      </c>
      <c r="F13" s="202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.75" hidden="1" customHeight="1" x14ac:dyDescent="0.2">
      <c r="A14" s="199" t="s">
        <v>81</v>
      </c>
      <c r="B14" s="200">
        <v>0</v>
      </c>
      <c r="C14" s="200">
        <v>0</v>
      </c>
      <c r="D14" s="201">
        <v>0</v>
      </c>
      <c r="E14" s="202">
        <v>0</v>
      </c>
      <c r="F14" s="202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.75" hidden="1" customHeight="1" x14ac:dyDescent="0.2">
      <c r="A15" s="199" t="s">
        <v>82</v>
      </c>
      <c r="B15" s="200">
        <v>0</v>
      </c>
      <c r="C15" s="200">
        <v>0</v>
      </c>
      <c r="D15" s="201">
        <v>0</v>
      </c>
      <c r="E15" s="202">
        <v>0</v>
      </c>
      <c r="F15" s="20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.7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20" ht="15.75" hidden="1" customHeight="1" x14ac:dyDescent="0.2">
      <c r="A17" s="199" t="s">
        <v>84</v>
      </c>
      <c r="B17" s="200">
        <v>0</v>
      </c>
      <c r="C17" s="200">
        <v>0</v>
      </c>
      <c r="D17" s="201">
        <v>0</v>
      </c>
      <c r="E17" s="202">
        <v>0</v>
      </c>
      <c r="F17" s="202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20" ht="15.75" hidden="1" customHeight="1" x14ac:dyDescent="0.2">
      <c r="A18" s="199" t="s">
        <v>85</v>
      </c>
      <c r="B18" s="200">
        <v>0</v>
      </c>
      <c r="C18" s="200">
        <v>0</v>
      </c>
      <c r="D18" s="201">
        <v>0</v>
      </c>
      <c r="E18" s="202">
        <v>0</v>
      </c>
      <c r="F18" s="202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20" ht="15.75" hidden="1" customHeight="1" x14ac:dyDescent="0.2">
      <c r="A19" s="199" t="s">
        <v>86</v>
      </c>
      <c r="B19" s="200">
        <v>0</v>
      </c>
      <c r="C19" s="200">
        <v>0</v>
      </c>
      <c r="D19" s="201">
        <v>0</v>
      </c>
      <c r="E19" s="202">
        <v>0</v>
      </c>
      <c r="F19" s="202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20" ht="15.75" hidden="1" customHeight="1" x14ac:dyDescent="0.2">
      <c r="A20" s="199" t="s">
        <v>87</v>
      </c>
      <c r="B20" s="200">
        <v>0</v>
      </c>
      <c r="C20" s="200">
        <v>0</v>
      </c>
      <c r="D20" s="201">
        <v>0</v>
      </c>
      <c r="E20" s="202">
        <v>0</v>
      </c>
      <c r="F20" s="202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20" ht="15.75" hidden="1" customHeight="1" x14ac:dyDescent="0.2">
      <c r="A21" s="199" t="s">
        <v>88</v>
      </c>
      <c r="B21" s="200">
        <v>0</v>
      </c>
      <c r="C21" s="200">
        <v>0</v>
      </c>
      <c r="D21" s="201">
        <v>0</v>
      </c>
      <c r="E21" s="202">
        <v>0</v>
      </c>
      <c r="F21" s="202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20" ht="15.75" hidden="1" customHeight="1" x14ac:dyDescent="0.2">
      <c r="A22" s="199" t="s">
        <v>89</v>
      </c>
      <c r="B22" s="200">
        <v>0</v>
      </c>
      <c r="C22" s="200">
        <v>0</v>
      </c>
      <c r="D22" s="201">
        <v>0</v>
      </c>
      <c r="E22" s="202">
        <v>0</v>
      </c>
      <c r="F22" s="202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20" ht="15.75" hidden="1" customHeight="1" x14ac:dyDescent="0.2">
      <c r="A23" s="199" t="s">
        <v>90</v>
      </c>
      <c r="B23" s="200">
        <v>0</v>
      </c>
      <c r="C23" s="200">
        <v>0</v>
      </c>
      <c r="D23" s="201">
        <v>0</v>
      </c>
      <c r="E23" s="202">
        <v>0</v>
      </c>
      <c r="F23" s="202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20" ht="15.75" hidden="1" customHeight="1" x14ac:dyDescent="0.2">
      <c r="A24" s="199" t="s">
        <v>91</v>
      </c>
      <c r="B24" s="200">
        <v>0</v>
      </c>
      <c r="C24" s="200">
        <v>0</v>
      </c>
      <c r="D24" s="201">
        <v>0</v>
      </c>
      <c r="E24" s="202">
        <v>0</v>
      </c>
      <c r="F24" s="202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20" ht="15.75" hidden="1" customHeight="1" x14ac:dyDescent="0.2">
      <c r="A25" s="203" t="s">
        <v>92</v>
      </c>
      <c r="B25" s="259">
        <v>0</v>
      </c>
      <c r="C25" s="259">
        <v>0</v>
      </c>
      <c r="D25" s="300">
        <v>0</v>
      </c>
      <c r="E25" s="301">
        <v>0</v>
      </c>
      <c r="F25" s="301">
        <v>0</v>
      </c>
      <c r="G25" s="258">
        <v>0</v>
      </c>
      <c r="H25" s="259">
        <v>0</v>
      </c>
      <c r="I25" s="259">
        <v>0</v>
      </c>
      <c r="J25" s="259">
        <v>0</v>
      </c>
    </row>
    <row r="26" spans="1:20" ht="15.75" customHeight="1" x14ac:dyDescent="0.2">
      <c r="A26" s="146" t="s">
        <v>93</v>
      </c>
      <c r="B26" s="147">
        <v>52.300000000000004</v>
      </c>
      <c r="C26" s="147">
        <v>68.3</v>
      </c>
      <c r="D26" s="147">
        <v>30.6</v>
      </c>
      <c r="E26" s="148">
        <v>1589.5430210325044</v>
      </c>
      <c r="F26" s="148">
        <v>1159.6193265007321</v>
      </c>
      <c r="G26" s="147">
        <v>-27</v>
      </c>
      <c r="H26" s="147">
        <v>83.1</v>
      </c>
      <c r="I26" s="147">
        <v>79.2</v>
      </c>
      <c r="J26" s="147">
        <v>-4.7</v>
      </c>
    </row>
    <row r="27" spans="1:20" ht="15.75" customHeight="1" x14ac:dyDescent="0.2">
      <c r="A27" s="86" t="s">
        <v>94</v>
      </c>
      <c r="B27" s="87">
        <v>3.9</v>
      </c>
      <c r="C27" s="87">
        <v>1.2</v>
      </c>
      <c r="D27" s="87">
        <v>-69.2</v>
      </c>
      <c r="E27" s="88">
        <v>1591</v>
      </c>
      <c r="F27" s="88">
        <v>1603</v>
      </c>
      <c r="G27" s="87">
        <v>0.8</v>
      </c>
      <c r="H27" s="87">
        <v>6.2</v>
      </c>
      <c r="I27" s="87">
        <v>1.9</v>
      </c>
      <c r="J27" s="87">
        <v>-69.400000000000006</v>
      </c>
      <c r="Q27" s="126"/>
      <c r="R27" s="126"/>
      <c r="S27" s="126"/>
      <c r="T27" s="126"/>
    </row>
    <row r="28" spans="1:20" ht="15.75" customHeight="1" x14ac:dyDescent="0.2">
      <c r="A28" s="86" t="s">
        <v>95</v>
      </c>
      <c r="B28" s="87">
        <v>0.8</v>
      </c>
      <c r="C28" s="87">
        <v>3.6</v>
      </c>
      <c r="D28" s="87">
        <v>350</v>
      </c>
      <c r="E28" s="88">
        <v>1810</v>
      </c>
      <c r="F28" s="88">
        <v>1634</v>
      </c>
      <c r="G28" s="87">
        <v>-9.6999999999999993</v>
      </c>
      <c r="H28" s="87">
        <v>1.4</v>
      </c>
      <c r="I28" s="87">
        <v>5.9</v>
      </c>
      <c r="J28" s="87">
        <v>321.39999999999998</v>
      </c>
      <c r="Q28" s="126"/>
      <c r="R28" s="126"/>
      <c r="S28" s="126"/>
      <c r="T28" s="126"/>
    </row>
    <row r="29" spans="1:20" ht="15.75" customHeight="1" x14ac:dyDescent="0.2">
      <c r="A29" s="86" t="s">
        <v>96</v>
      </c>
      <c r="B29" s="87">
        <v>47</v>
      </c>
      <c r="C29" s="87">
        <v>63</v>
      </c>
      <c r="D29" s="87">
        <v>34</v>
      </c>
      <c r="E29" s="88">
        <v>1579</v>
      </c>
      <c r="F29" s="88">
        <v>1117</v>
      </c>
      <c r="G29" s="87">
        <v>-29.3</v>
      </c>
      <c r="H29" s="87">
        <v>74.2</v>
      </c>
      <c r="I29" s="87">
        <v>70.400000000000006</v>
      </c>
      <c r="J29" s="87">
        <v>-5.0999999999999996</v>
      </c>
      <c r="Q29" s="126"/>
      <c r="R29" s="126"/>
      <c r="S29" s="126"/>
      <c r="T29" s="126"/>
    </row>
    <row r="30" spans="1:20" ht="15.75" customHeight="1" x14ac:dyDescent="0.2">
      <c r="A30" s="86" t="s">
        <v>97</v>
      </c>
      <c r="B30" s="87">
        <v>0.6</v>
      </c>
      <c r="C30" s="87">
        <v>0.5</v>
      </c>
      <c r="D30" s="87">
        <v>-16.7</v>
      </c>
      <c r="E30" s="88">
        <v>2112</v>
      </c>
      <c r="F30" s="88">
        <v>2050</v>
      </c>
      <c r="G30" s="87">
        <v>-2.9</v>
      </c>
      <c r="H30" s="87">
        <v>1.3</v>
      </c>
      <c r="I30" s="87">
        <v>1</v>
      </c>
      <c r="J30" s="87">
        <v>-23.1</v>
      </c>
      <c r="Q30" s="126"/>
      <c r="R30" s="126"/>
      <c r="S30" s="126"/>
      <c r="T30" s="126"/>
    </row>
    <row r="31" spans="1:20" ht="15.75" customHeight="1" x14ac:dyDescent="0.2">
      <c r="A31" s="146" t="s">
        <v>98</v>
      </c>
      <c r="B31" s="147">
        <v>5.5</v>
      </c>
      <c r="C31" s="147">
        <v>3.3</v>
      </c>
      <c r="D31" s="147">
        <v>-40</v>
      </c>
      <c r="E31" s="148">
        <v>1800</v>
      </c>
      <c r="F31" s="148">
        <v>1953</v>
      </c>
      <c r="G31" s="147">
        <v>8.5</v>
      </c>
      <c r="H31" s="147">
        <v>9.9</v>
      </c>
      <c r="I31" s="147">
        <v>6.4</v>
      </c>
      <c r="J31" s="147">
        <v>-35.4</v>
      </c>
    </row>
    <row r="32" spans="1:20" ht="15.75" customHeight="1" x14ac:dyDescent="0.2">
      <c r="A32" s="86" t="s">
        <v>99</v>
      </c>
      <c r="B32" s="87">
        <v>5.5</v>
      </c>
      <c r="C32" s="87">
        <v>3.3</v>
      </c>
      <c r="D32" s="87">
        <v>-40</v>
      </c>
      <c r="E32" s="88">
        <v>1800</v>
      </c>
      <c r="F32" s="88">
        <v>1953</v>
      </c>
      <c r="G32" s="87">
        <v>8.5</v>
      </c>
      <c r="H32" s="87">
        <v>9.9</v>
      </c>
      <c r="I32" s="87">
        <v>6.4</v>
      </c>
      <c r="J32" s="87">
        <v>-35.4</v>
      </c>
      <c r="Q32" s="126"/>
      <c r="R32" s="126"/>
      <c r="S32" s="126"/>
      <c r="T32" s="126"/>
    </row>
    <row r="33" spans="1:2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20" ht="15.75" customHeight="1" x14ac:dyDescent="0.2">
      <c r="A36" s="146" t="s">
        <v>103</v>
      </c>
      <c r="B36" s="147">
        <v>4.0999999999999996</v>
      </c>
      <c r="C36" s="147">
        <v>6</v>
      </c>
      <c r="D36" s="147">
        <v>46.3</v>
      </c>
      <c r="E36" s="148">
        <v>1800</v>
      </c>
      <c r="F36" s="148">
        <v>1986</v>
      </c>
      <c r="G36" s="147">
        <v>10.3</v>
      </c>
      <c r="H36" s="147">
        <v>7.4</v>
      </c>
      <c r="I36" s="147">
        <v>11.9</v>
      </c>
      <c r="J36" s="147">
        <v>60.8</v>
      </c>
    </row>
    <row r="37" spans="1:2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2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customHeight="1" x14ac:dyDescent="0.2">
      <c r="A39" s="142" t="s">
        <v>106</v>
      </c>
      <c r="B39" s="143">
        <v>4.0999999999999996</v>
      </c>
      <c r="C39" s="143">
        <v>6</v>
      </c>
      <c r="D39" s="143">
        <v>46.3</v>
      </c>
      <c r="E39" s="144">
        <v>1800</v>
      </c>
      <c r="F39" s="144">
        <v>1986</v>
      </c>
      <c r="G39" s="145">
        <v>10.3</v>
      </c>
      <c r="H39" s="143">
        <v>7.4</v>
      </c>
      <c r="I39" s="143">
        <v>11.9</v>
      </c>
      <c r="J39" s="143">
        <v>60.8</v>
      </c>
      <c r="Q39" s="126"/>
      <c r="R39" s="126"/>
      <c r="S39" s="126"/>
      <c r="T39" s="126"/>
    </row>
    <row r="40" spans="1:20" ht="15.7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>
        <v>0</v>
      </c>
      <c r="F40" s="148">
        <v>0</v>
      </c>
      <c r="G40" s="147">
        <v>0</v>
      </c>
      <c r="H40" s="147">
        <v>0</v>
      </c>
      <c r="I40" s="147">
        <v>0</v>
      </c>
      <c r="J40" s="147">
        <v>0</v>
      </c>
    </row>
    <row r="41" spans="1:20" ht="15.75" customHeight="1" x14ac:dyDescent="0.2">
      <c r="A41" s="146" t="s">
        <v>108</v>
      </c>
      <c r="B41" s="147">
        <v>61.900000000000006</v>
      </c>
      <c r="C41" s="147">
        <v>77.599999999999994</v>
      </c>
      <c r="D41" s="147">
        <v>25.4</v>
      </c>
      <c r="E41" s="148">
        <v>1622.1825525040385</v>
      </c>
      <c r="F41" s="148">
        <v>1257.2538659793815</v>
      </c>
      <c r="G41" s="147">
        <v>-22.5</v>
      </c>
      <c r="H41" s="147">
        <v>100.4</v>
      </c>
      <c r="I41" s="147">
        <v>97.500000000000014</v>
      </c>
      <c r="J41" s="147">
        <v>-2.9</v>
      </c>
    </row>
    <row r="42" spans="1:20" ht="15.75" customHeight="1" x14ac:dyDescent="0.2">
      <c r="A42" s="149" t="s">
        <v>58</v>
      </c>
      <c r="B42" s="150">
        <v>61.900000000000006</v>
      </c>
      <c r="C42" s="150">
        <v>77.599999999999994</v>
      </c>
      <c r="D42" s="150">
        <v>25.4</v>
      </c>
      <c r="E42" s="151">
        <v>1622.1825525040385</v>
      </c>
      <c r="F42" s="151">
        <v>1257.2538659793815</v>
      </c>
      <c r="G42" s="150">
        <v>-22.5</v>
      </c>
      <c r="H42" s="150">
        <v>100.4</v>
      </c>
      <c r="I42" s="150">
        <v>97.500000000000014</v>
      </c>
      <c r="J42" s="150">
        <v>-2.9</v>
      </c>
    </row>
    <row r="43" spans="1:20" ht="15.75" customHeight="1" x14ac:dyDescent="0.2">
      <c r="A43" s="190" t="s">
        <v>7</v>
      </c>
      <c r="B43" s="191"/>
      <c r="C43" s="191"/>
      <c r="D43" s="302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212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7" width="11.42578125" style="126" customWidth="1"/>
  </cols>
  <sheetData>
    <row r="1" spans="1:10" ht="33.7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455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10" ht="20.25" customHeight="1" x14ac:dyDescent="0.2">
      <c r="A6" s="455"/>
      <c r="B6" s="170" t="s">
        <v>2</v>
      </c>
      <c r="C6" s="170" t="s">
        <v>5</v>
      </c>
      <c r="D6" s="170" t="s">
        <v>65</v>
      </c>
      <c r="E6" s="170" t="s">
        <v>2</v>
      </c>
      <c r="F6" s="170" t="s">
        <v>5</v>
      </c>
      <c r="G6" s="170" t="s">
        <v>65</v>
      </c>
      <c r="H6" s="170" t="s">
        <v>2</v>
      </c>
      <c r="I6" s="170" t="s">
        <v>5</v>
      </c>
      <c r="J6" s="170" t="s">
        <v>65</v>
      </c>
    </row>
    <row r="7" spans="1:10" ht="20.25" customHeight="1" x14ac:dyDescent="0.2">
      <c r="A7" s="494"/>
      <c r="B7" s="298" t="s">
        <v>66</v>
      </c>
      <c r="C7" s="170" t="s">
        <v>67</v>
      </c>
      <c r="D7" s="170" t="s">
        <v>68</v>
      </c>
      <c r="E7" s="170" t="s">
        <v>69</v>
      </c>
      <c r="F7" s="170" t="s">
        <v>70</v>
      </c>
      <c r="G7" s="170" t="s">
        <v>71</v>
      </c>
      <c r="H7" s="170" t="s">
        <v>72</v>
      </c>
      <c r="I7" s="170" t="s">
        <v>73</v>
      </c>
      <c r="J7" s="170" t="s">
        <v>74</v>
      </c>
    </row>
    <row r="8" spans="1:10" ht="15.75" hidden="1" customHeight="1" x14ac:dyDescent="0.2">
      <c r="A8" s="139" t="s">
        <v>75</v>
      </c>
      <c r="B8" s="139">
        <v>0</v>
      </c>
      <c r="C8" s="139">
        <v>0</v>
      </c>
      <c r="D8" s="139">
        <v>0</v>
      </c>
      <c r="E8" s="139">
        <v>0</v>
      </c>
      <c r="F8" s="139">
        <v>0</v>
      </c>
      <c r="G8" s="139">
        <v>0</v>
      </c>
      <c r="H8" s="139">
        <v>0</v>
      </c>
      <c r="I8" s="139">
        <v>0</v>
      </c>
      <c r="J8" s="139">
        <v>0</v>
      </c>
    </row>
    <row r="9" spans="1:10" ht="15.75" hidden="1" customHeight="1" x14ac:dyDescent="0.2">
      <c r="A9" s="142" t="s">
        <v>76</v>
      </c>
      <c r="B9" s="143">
        <v>0</v>
      </c>
      <c r="C9" s="143">
        <v>0</v>
      </c>
      <c r="D9" s="145">
        <v>0</v>
      </c>
      <c r="E9" s="144">
        <v>0</v>
      </c>
      <c r="F9" s="144">
        <v>0</v>
      </c>
      <c r="G9" s="145">
        <v>0</v>
      </c>
      <c r="H9" s="143">
        <v>0</v>
      </c>
      <c r="I9" s="143">
        <v>0</v>
      </c>
      <c r="J9" s="143">
        <v>0</v>
      </c>
    </row>
    <row r="10" spans="1:10" ht="15.75" hidden="1" customHeight="1" x14ac:dyDescent="0.2">
      <c r="A10" s="142" t="s">
        <v>77</v>
      </c>
      <c r="B10" s="143">
        <v>0</v>
      </c>
      <c r="C10" s="143">
        <v>0</v>
      </c>
      <c r="D10" s="145">
        <v>0</v>
      </c>
      <c r="E10" s="144">
        <v>0</v>
      </c>
      <c r="F10" s="144">
        <v>0</v>
      </c>
      <c r="G10" s="145">
        <v>0</v>
      </c>
      <c r="H10" s="143">
        <v>0</v>
      </c>
      <c r="I10" s="143">
        <v>0</v>
      </c>
      <c r="J10" s="143">
        <v>0</v>
      </c>
    </row>
    <row r="11" spans="1:10" ht="15.75" hidden="1" customHeight="1" x14ac:dyDescent="0.2">
      <c r="A11" s="142" t="s">
        <v>78</v>
      </c>
      <c r="B11" s="143">
        <v>0</v>
      </c>
      <c r="C11" s="143">
        <v>0</v>
      </c>
      <c r="D11" s="145">
        <v>0</v>
      </c>
      <c r="E11" s="144">
        <v>0</v>
      </c>
      <c r="F11" s="144">
        <v>0</v>
      </c>
      <c r="G11" s="145">
        <v>0</v>
      </c>
      <c r="H11" s="143">
        <v>0</v>
      </c>
      <c r="I11" s="143">
        <v>0</v>
      </c>
      <c r="J11" s="143">
        <v>0</v>
      </c>
    </row>
    <row r="12" spans="1:10" ht="15.75" hidden="1" customHeight="1" x14ac:dyDescent="0.2">
      <c r="A12" s="142" t="s">
        <v>79</v>
      </c>
      <c r="B12" s="143">
        <v>0</v>
      </c>
      <c r="C12" s="143">
        <v>0</v>
      </c>
      <c r="D12" s="145">
        <v>0</v>
      </c>
      <c r="E12" s="144">
        <v>0</v>
      </c>
      <c r="F12" s="144">
        <v>0</v>
      </c>
      <c r="G12" s="145">
        <v>0</v>
      </c>
      <c r="H12" s="143">
        <v>0</v>
      </c>
      <c r="I12" s="143">
        <v>0</v>
      </c>
      <c r="J12" s="143">
        <v>0</v>
      </c>
    </row>
    <row r="13" spans="1:10" ht="15.75" hidden="1" customHeight="1" x14ac:dyDescent="0.2">
      <c r="A13" s="142" t="s">
        <v>80</v>
      </c>
      <c r="B13" s="143">
        <v>0</v>
      </c>
      <c r="C13" s="143">
        <v>0</v>
      </c>
      <c r="D13" s="145">
        <v>0</v>
      </c>
      <c r="E13" s="144">
        <v>0</v>
      </c>
      <c r="F13" s="144">
        <v>0</v>
      </c>
      <c r="G13" s="145">
        <v>0</v>
      </c>
      <c r="H13" s="143">
        <v>0</v>
      </c>
      <c r="I13" s="143">
        <v>0</v>
      </c>
      <c r="J13" s="143">
        <v>0</v>
      </c>
    </row>
    <row r="14" spans="1:10" ht="15.75" hidden="1" customHeight="1" x14ac:dyDescent="0.2">
      <c r="A14" s="142" t="s">
        <v>81</v>
      </c>
      <c r="B14" s="143">
        <v>0</v>
      </c>
      <c r="C14" s="143">
        <v>0</v>
      </c>
      <c r="D14" s="145">
        <v>0</v>
      </c>
      <c r="E14" s="144">
        <v>0</v>
      </c>
      <c r="F14" s="144">
        <v>0</v>
      </c>
      <c r="G14" s="145">
        <v>0</v>
      </c>
      <c r="H14" s="143">
        <v>0</v>
      </c>
      <c r="I14" s="143">
        <v>0</v>
      </c>
      <c r="J14" s="143">
        <v>0</v>
      </c>
    </row>
    <row r="15" spans="1:10" ht="15.75" hidden="1" customHeight="1" x14ac:dyDescent="0.2">
      <c r="A15" s="142" t="s">
        <v>82</v>
      </c>
      <c r="B15" s="143">
        <v>0</v>
      </c>
      <c r="C15" s="143">
        <v>0</v>
      </c>
      <c r="D15" s="145">
        <v>0</v>
      </c>
      <c r="E15" s="144">
        <v>0</v>
      </c>
      <c r="F15" s="144">
        <v>0</v>
      </c>
      <c r="G15" s="145">
        <v>0</v>
      </c>
      <c r="H15" s="143">
        <v>0</v>
      </c>
      <c r="I15" s="143">
        <v>0</v>
      </c>
      <c r="J15" s="143">
        <v>0</v>
      </c>
    </row>
    <row r="16" spans="1:10" ht="15.75" customHeight="1" x14ac:dyDescent="0.2">
      <c r="A16" s="146" t="s">
        <v>83</v>
      </c>
      <c r="B16" s="147">
        <v>69.599999999999994</v>
      </c>
      <c r="C16" s="147">
        <v>70.699999999999989</v>
      </c>
      <c r="D16" s="147">
        <v>1.6</v>
      </c>
      <c r="E16" s="148">
        <v>1437.1724137931035</v>
      </c>
      <c r="F16" s="148">
        <v>1712.2998585572846</v>
      </c>
      <c r="G16" s="147">
        <v>19.100000000000001</v>
      </c>
      <c r="H16" s="147">
        <v>100.02</v>
      </c>
      <c r="I16" s="147">
        <v>121.05</v>
      </c>
      <c r="J16" s="147">
        <v>21</v>
      </c>
    </row>
    <row r="17" spans="1:20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20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20" ht="15.75" customHeight="1" x14ac:dyDescent="0.2">
      <c r="A19" s="86" t="s">
        <v>86</v>
      </c>
      <c r="B19" s="87">
        <v>0.1</v>
      </c>
      <c r="C19" s="87">
        <v>0.1</v>
      </c>
      <c r="D19" s="87">
        <v>0</v>
      </c>
      <c r="E19" s="88">
        <v>167</v>
      </c>
      <c r="F19" s="88">
        <v>512</v>
      </c>
      <c r="G19" s="87">
        <v>206.6</v>
      </c>
      <c r="H19" s="87">
        <v>0.02</v>
      </c>
      <c r="I19" s="87">
        <v>0.05</v>
      </c>
      <c r="J19" s="87">
        <v>150</v>
      </c>
      <c r="R19" s="126"/>
      <c r="S19" s="126"/>
      <c r="T19" s="126"/>
    </row>
    <row r="20" spans="1:20" ht="15.75" hidden="1" customHeight="1" x14ac:dyDescent="0.2">
      <c r="A20" s="142" t="s">
        <v>87</v>
      </c>
      <c r="B20" s="145">
        <v>0</v>
      </c>
      <c r="C20" s="145">
        <v>0</v>
      </c>
      <c r="D20" s="143"/>
      <c r="E20" s="186">
        <v>0</v>
      </c>
      <c r="F20" s="186">
        <v>0</v>
      </c>
      <c r="G20" s="145">
        <v>0</v>
      </c>
      <c r="H20" s="145">
        <v>0</v>
      </c>
      <c r="I20" s="145">
        <v>0</v>
      </c>
      <c r="J20" s="145">
        <v>0</v>
      </c>
    </row>
    <row r="21" spans="1:20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20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20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20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69.5</v>
      </c>
      <c r="C25" s="87">
        <v>70.599999999999994</v>
      </c>
      <c r="D25" s="87">
        <v>1.6</v>
      </c>
      <c r="E25" s="88">
        <v>1439</v>
      </c>
      <c r="F25" s="88">
        <v>1714</v>
      </c>
      <c r="G25" s="87">
        <v>19.100000000000001</v>
      </c>
      <c r="H25" s="87">
        <v>100</v>
      </c>
      <c r="I25" s="87">
        <v>121</v>
      </c>
      <c r="J25" s="87">
        <v>21</v>
      </c>
      <c r="R25" s="126"/>
      <c r="S25" s="126"/>
      <c r="T25" s="126"/>
    </row>
    <row r="26" spans="1:20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20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>
        <v>0</v>
      </c>
      <c r="F28" s="144">
        <v>0</v>
      </c>
      <c r="G28" s="145">
        <v>0</v>
      </c>
      <c r="H28" s="143">
        <v>0</v>
      </c>
      <c r="I28" s="143">
        <v>0</v>
      </c>
      <c r="J28" s="143">
        <v>0</v>
      </c>
    </row>
    <row r="29" spans="1:20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20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>
        <v>0</v>
      </c>
      <c r="F37" s="144">
        <v>0</v>
      </c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69.599999999999994</v>
      </c>
      <c r="C40" s="147">
        <v>70.699999999999989</v>
      </c>
      <c r="D40" s="147">
        <v>1.6</v>
      </c>
      <c r="E40" s="148">
        <v>1437.1724137931035</v>
      </c>
      <c r="F40" s="148">
        <v>1712.2998585572846</v>
      </c>
      <c r="G40" s="147">
        <v>19.100000000000001</v>
      </c>
      <c r="H40" s="147">
        <v>100.02</v>
      </c>
      <c r="I40" s="147">
        <v>121.05</v>
      </c>
      <c r="J40" s="147">
        <v>21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69.599999999999994</v>
      </c>
      <c r="C42" s="150">
        <v>70.699999999999989</v>
      </c>
      <c r="D42" s="150">
        <v>1.6</v>
      </c>
      <c r="E42" s="151">
        <v>1437.1724137931035</v>
      </c>
      <c r="F42" s="151">
        <v>1712.2998585572846</v>
      </c>
      <c r="G42" s="150">
        <v>19.100000000000001</v>
      </c>
      <c r="H42" s="150">
        <v>100.02</v>
      </c>
      <c r="I42" s="150">
        <v>121.05</v>
      </c>
      <c r="J42" s="150">
        <v>21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212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1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9" width="11.42578125" style="126" customWidth="1"/>
  </cols>
  <sheetData>
    <row r="1" spans="1:20" ht="37.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0.25" customHeight="1" x14ac:dyDescent="0.2">
      <c r="A5" s="495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20" ht="20.25" customHeight="1" x14ac:dyDescent="0.2">
      <c r="A6" s="495"/>
      <c r="B6" s="304" t="s">
        <v>2</v>
      </c>
      <c r="C6" s="304" t="s">
        <v>5</v>
      </c>
      <c r="D6" s="304" t="s">
        <v>65</v>
      </c>
      <c r="E6" s="304" t="s">
        <v>2</v>
      </c>
      <c r="F6" s="304" t="s">
        <v>5</v>
      </c>
      <c r="G6" s="304" t="s">
        <v>65</v>
      </c>
      <c r="H6" s="304" t="s">
        <v>2</v>
      </c>
      <c r="I6" s="304" t="s">
        <v>5</v>
      </c>
      <c r="J6" s="304" t="s">
        <v>65</v>
      </c>
    </row>
    <row r="7" spans="1:20" ht="20.25" customHeight="1" x14ac:dyDescent="0.2">
      <c r="A7" s="496"/>
      <c r="B7" s="305" t="s">
        <v>66</v>
      </c>
      <c r="C7" s="306" t="s">
        <v>67</v>
      </c>
      <c r="D7" s="307" t="s">
        <v>68</v>
      </c>
      <c r="E7" s="307" t="s">
        <v>69</v>
      </c>
      <c r="F7" s="308" t="s">
        <v>70</v>
      </c>
      <c r="G7" s="306" t="s">
        <v>71</v>
      </c>
      <c r="H7" s="307" t="s">
        <v>72</v>
      </c>
      <c r="I7" s="308" t="s">
        <v>73</v>
      </c>
      <c r="J7" s="306" t="s">
        <v>74</v>
      </c>
    </row>
    <row r="8" spans="1:20" ht="15.75" customHeight="1" x14ac:dyDescent="0.2">
      <c r="A8" s="139" t="s">
        <v>75</v>
      </c>
      <c r="B8" s="140">
        <v>335.7</v>
      </c>
      <c r="C8" s="140">
        <v>317.8</v>
      </c>
      <c r="D8" s="140">
        <v>-5.3</v>
      </c>
      <c r="E8" s="141">
        <v>4115.3240988978259</v>
      </c>
      <c r="F8" s="141">
        <v>4314.878854625551</v>
      </c>
      <c r="G8" s="140">
        <v>4.8</v>
      </c>
      <c r="H8" s="140">
        <v>1381.6000000000001</v>
      </c>
      <c r="I8" s="140">
        <v>1371.3</v>
      </c>
      <c r="J8" s="140">
        <v>-0.7</v>
      </c>
    </row>
    <row r="9" spans="1:20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20" ht="15.75" customHeight="1" x14ac:dyDescent="0.2">
      <c r="A10" s="86" t="s">
        <v>77</v>
      </c>
      <c r="B10" s="87">
        <v>16.100000000000001</v>
      </c>
      <c r="C10" s="87">
        <v>8.1999999999999993</v>
      </c>
      <c r="D10" s="87">
        <v>-49.1</v>
      </c>
      <c r="E10" s="88">
        <v>3538</v>
      </c>
      <c r="F10" s="88">
        <v>3778</v>
      </c>
      <c r="G10" s="87">
        <v>6.8</v>
      </c>
      <c r="H10" s="87">
        <v>57</v>
      </c>
      <c r="I10" s="87">
        <v>31</v>
      </c>
      <c r="J10" s="87">
        <v>-45.6</v>
      </c>
      <c r="T10" s="126"/>
    </row>
    <row r="11" spans="1:20" ht="15.75" customHeight="1" x14ac:dyDescent="0.2">
      <c r="A11" s="86" t="s">
        <v>78</v>
      </c>
      <c r="B11" s="87">
        <v>29.7</v>
      </c>
      <c r="C11" s="87">
        <v>31.1</v>
      </c>
      <c r="D11" s="87">
        <v>4.7</v>
      </c>
      <c r="E11" s="88">
        <v>2972</v>
      </c>
      <c r="F11" s="88">
        <v>3144</v>
      </c>
      <c r="G11" s="87">
        <v>5.8</v>
      </c>
      <c r="H11" s="87">
        <v>88.3</v>
      </c>
      <c r="I11" s="87">
        <v>97.8</v>
      </c>
      <c r="J11" s="87">
        <v>10.8</v>
      </c>
      <c r="T11" s="126"/>
    </row>
    <row r="12" spans="1:20" ht="15.75" customHeight="1" x14ac:dyDescent="0.2">
      <c r="A12" s="86" t="s">
        <v>79</v>
      </c>
      <c r="B12" s="87">
        <v>8.3000000000000007</v>
      </c>
      <c r="C12" s="87">
        <v>8</v>
      </c>
      <c r="D12" s="87">
        <v>-3.6</v>
      </c>
      <c r="E12" s="88">
        <v>3005</v>
      </c>
      <c r="F12" s="88">
        <v>2571</v>
      </c>
      <c r="G12" s="87">
        <v>-14.4</v>
      </c>
      <c r="H12" s="87">
        <v>24.9</v>
      </c>
      <c r="I12" s="87">
        <v>20.6</v>
      </c>
      <c r="J12" s="87">
        <v>-17.3</v>
      </c>
      <c r="T12" s="126"/>
    </row>
    <row r="13" spans="1:20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186"/>
      <c r="G13" s="145">
        <v>0</v>
      </c>
      <c r="H13" s="145">
        <v>0</v>
      </c>
      <c r="I13" s="145">
        <v>0</v>
      </c>
      <c r="J13" s="145">
        <v>0</v>
      </c>
    </row>
    <row r="14" spans="1:20" ht="15.75" customHeight="1" x14ac:dyDescent="0.2">
      <c r="A14" s="86" t="s">
        <v>81</v>
      </c>
      <c r="B14" s="87">
        <v>222.9</v>
      </c>
      <c r="C14" s="87">
        <v>193.5</v>
      </c>
      <c r="D14" s="87">
        <v>-13.2</v>
      </c>
      <c r="E14" s="88">
        <v>3610</v>
      </c>
      <c r="F14" s="88">
        <v>3379</v>
      </c>
      <c r="G14" s="87">
        <v>-6.4</v>
      </c>
      <c r="H14" s="87">
        <v>804.7</v>
      </c>
      <c r="I14" s="87">
        <v>653.79999999999995</v>
      </c>
      <c r="J14" s="87">
        <v>-18.8</v>
      </c>
      <c r="T14" s="126"/>
    </row>
    <row r="15" spans="1:20" ht="15.75" customHeight="1" x14ac:dyDescent="0.2">
      <c r="A15" s="86" t="s">
        <v>82</v>
      </c>
      <c r="B15" s="87">
        <v>58.7</v>
      </c>
      <c r="C15" s="87">
        <v>77</v>
      </c>
      <c r="D15" s="87">
        <v>31.2</v>
      </c>
      <c r="E15" s="88">
        <v>6928</v>
      </c>
      <c r="F15" s="88">
        <v>7378</v>
      </c>
      <c r="G15" s="87">
        <v>6.5</v>
      </c>
      <c r="H15" s="87">
        <v>406.7</v>
      </c>
      <c r="I15" s="87">
        <v>568.1</v>
      </c>
      <c r="J15" s="87">
        <v>39.700000000000003</v>
      </c>
      <c r="T15" s="126"/>
    </row>
    <row r="16" spans="1:20" ht="15.75" customHeight="1" x14ac:dyDescent="0.2">
      <c r="A16" s="146" t="s">
        <v>83</v>
      </c>
      <c r="B16" s="147">
        <v>1015.3000000000001</v>
      </c>
      <c r="C16" s="147">
        <v>1075.5999999999999</v>
      </c>
      <c r="D16" s="147">
        <v>5.9</v>
      </c>
      <c r="E16" s="148">
        <v>4079.7779966512362</v>
      </c>
      <c r="F16" s="148">
        <v>5316.5319821494986</v>
      </c>
      <c r="G16" s="147">
        <v>30.3</v>
      </c>
      <c r="H16" s="147">
        <v>4142.2</v>
      </c>
      <c r="I16" s="147">
        <v>5718.4</v>
      </c>
      <c r="J16" s="147">
        <v>38.1</v>
      </c>
    </row>
    <row r="17" spans="1:20" ht="15.75" customHeight="1" x14ac:dyDescent="0.2">
      <c r="A17" s="86" t="s">
        <v>84</v>
      </c>
      <c r="B17" s="87">
        <v>298.10000000000002</v>
      </c>
      <c r="C17" s="87">
        <v>328.5</v>
      </c>
      <c r="D17" s="87">
        <v>10.199999999999999</v>
      </c>
      <c r="E17" s="88">
        <v>5128</v>
      </c>
      <c r="F17" s="88">
        <v>5666</v>
      </c>
      <c r="G17" s="87">
        <v>10.5</v>
      </c>
      <c r="H17" s="87">
        <v>1528.7</v>
      </c>
      <c r="I17" s="87">
        <v>1861.3</v>
      </c>
      <c r="J17" s="87">
        <v>21.8</v>
      </c>
      <c r="T17" s="126"/>
    </row>
    <row r="18" spans="1:20" ht="15.75" customHeight="1" x14ac:dyDescent="0.2">
      <c r="A18" s="86" t="s">
        <v>85</v>
      </c>
      <c r="B18" s="87">
        <v>365.1</v>
      </c>
      <c r="C18" s="87">
        <v>385.5</v>
      </c>
      <c r="D18" s="87">
        <v>5.6</v>
      </c>
      <c r="E18" s="88">
        <v>3649</v>
      </c>
      <c r="F18" s="88">
        <v>5280</v>
      </c>
      <c r="G18" s="87">
        <v>44.7</v>
      </c>
      <c r="H18" s="87">
        <v>1332.2</v>
      </c>
      <c r="I18" s="87">
        <v>2035.4</v>
      </c>
      <c r="J18" s="87">
        <v>52.8</v>
      </c>
      <c r="T18" s="126"/>
    </row>
    <row r="19" spans="1:20" ht="15.75" hidden="1" customHeight="1" x14ac:dyDescent="0.2">
      <c r="A19" s="142" t="s">
        <v>86</v>
      </c>
      <c r="B19" s="145">
        <v>0</v>
      </c>
      <c r="C19" s="145">
        <v>0</v>
      </c>
      <c r="D19" s="143">
        <v>0</v>
      </c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20" ht="15.75" hidden="1" customHeight="1" x14ac:dyDescent="0.2">
      <c r="A20" s="142" t="s">
        <v>87</v>
      </c>
      <c r="B20" s="145">
        <v>0</v>
      </c>
      <c r="C20" s="145">
        <v>0</v>
      </c>
      <c r="D20" s="143">
        <v>0</v>
      </c>
      <c r="E20" s="186"/>
      <c r="F20" s="186"/>
      <c r="G20" s="145">
        <v>0</v>
      </c>
      <c r="H20" s="145">
        <v>0</v>
      </c>
      <c r="I20" s="145">
        <v>0</v>
      </c>
      <c r="J20" s="145">
        <v>0</v>
      </c>
    </row>
    <row r="21" spans="1:20" ht="15.75" hidden="1" customHeight="1" x14ac:dyDescent="0.2">
      <c r="A21" s="142" t="s">
        <v>88</v>
      </c>
      <c r="B21" s="145">
        <v>0</v>
      </c>
      <c r="C21" s="145">
        <v>0</v>
      </c>
      <c r="D21" s="143">
        <v>0</v>
      </c>
      <c r="E21" s="186"/>
      <c r="F21" s="186"/>
      <c r="G21" s="145">
        <v>0</v>
      </c>
      <c r="H21" s="145">
        <v>0</v>
      </c>
      <c r="I21" s="145">
        <v>0</v>
      </c>
      <c r="J21" s="145">
        <v>0</v>
      </c>
    </row>
    <row r="22" spans="1:20" ht="15.75" hidden="1" customHeight="1" x14ac:dyDescent="0.2">
      <c r="A22" s="142" t="s">
        <v>89</v>
      </c>
      <c r="B22" s="145">
        <v>0</v>
      </c>
      <c r="C22" s="145">
        <v>0</v>
      </c>
      <c r="D22" s="143">
        <v>0</v>
      </c>
      <c r="E22" s="186"/>
      <c r="F22" s="186"/>
      <c r="G22" s="145">
        <v>0</v>
      </c>
      <c r="H22" s="145">
        <v>0</v>
      </c>
      <c r="I22" s="145">
        <v>0</v>
      </c>
      <c r="J22" s="145">
        <v>0</v>
      </c>
    </row>
    <row r="23" spans="1:2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186"/>
      <c r="F23" s="186"/>
      <c r="G23" s="145">
        <v>0</v>
      </c>
      <c r="H23" s="145">
        <v>0</v>
      </c>
      <c r="I23" s="145">
        <v>0</v>
      </c>
      <c r="J23" s="145">
        <v>0</v>
      </c>
    </row>
    <row r="24" spans="1:2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186"/>
      <c r="F24" s="186"/>
      <c r="G24" s="145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352.1</v>
      </c>
      <c r="C25" s="87">
        <v>361.6</v>
      </c>
      <c r="D25" s="87">
        <v>2.7</v>
      </c>
      <c r="E25" s="88">
        <v>3639</v>
      </c>
      <c r="F25" s="88">
        <v>5038</v>
      </c>
      <c r="G25" s="87">
        <v>38.4</v>
      </c>
      <c r="H25" s="87">
        <v>1281.3</v>
      </c>
      <c r="I25" s="87">
        <v>1821.7</v>
      </c>
      <c r="J25" s="87">
        <v>42.2</v>
      </c>
      <c r="T25" s="126"/>
    </row>
    <row r="26" spans="1:20" ht="15.75" customHeight="1" x14ac:dyDescent="0.2">
      <c r="A26" s="146" t="s">
        <v>93</v>
      </c>
      <c r="B26" s="147">
        <v>247.4</v>
      </c>
      <c r="C26" s="147">
        <v>251.7</v>
      </c>
      <c r="D26" s="147">
        <v>1.7</v>
      </c>
      <c r="E26" s="148">
        <v>9790.504850444624</v>
      </c>
      <c r="F26" s="148">
        <v>9808.6654747715547</v>
      </c>
      <c r="G26" s="147">
        <v>0.2</v>
      </c>
      <c r="H26" s="147">
        <v>2422.3000000000002</v>
      </c>
      <c r="I26" s="147">
        <v>2468.8000000000002</v>
      </c>
      <c r="J26" s="147">
        <v>1.9</v>
      </c>
    </row>
    <row r="27" spans="1:20" ht="15.75" customHeight="1" x14ac:dyDescent="0.2">
      <c r="A27" s="86" t="s">
        <v>94</v>
      </c>
      <c r="B27" s="87">
        <v>72.7</v>
      </c>
      <c r="C27" s="87">
        <v>72.7</v>
      </c>
      <c r="D27" s="87">
        <v>0</v>
      </c>
      <c r="E27" s="88">
        <v>8400</v>
      </c>
      <c r="F27" s="88">
        <v>8413</v>
      </c>
      <c r="G27" s="87">
        <v>0.2</v>
      </c>
      <c r="H27" s="87">
        <v>610.70000000000005</v>
      </c>
      <c r="I27" s="87">
        <v>611.6</v>
      </c>
      <c r="J27" s="87">
        <v>0.1</v>
      </c>
      <c r="T27" s="126"/>
    </row>
    <row r="28" spans="1:20" ht="15.75" customHeight="1" x14ac:dyDescent="0.2">
      <c r="A28" s="86" t="s">
        <v>95</v>
      </c>
      <c r="B28" s="87">
        <v>10.199999999999999</v>
      </c>
      <c r="C28" s="87">
        <v>15.5</v>
      </c>
      <c r="D28" s="87">
        <v>52</v>
      </c>
      <c r="E28" s="88">
        <v>11312</v>
      </c>
      <c r="F28" s="88">
        <v>10997</v>
      </c>
      <c r="G28" s="87">
        <v>-2.8</v>
      </c>
      <c r="H28" s="87">
        <v>115.4</v>
      </c>
      <c r="I28" s="87">
        <v>170.5</v>
      </c>
      <c r="J28" s="87">
        <v>47.7</v>
      </c>
      <c r="T28" s="126"/>
    </row>
    <row r="29" spans="1:20" ht="15.75" customHeight="1" x14ac:dyDescent="0.2">
      <c r="A29" s="86" t="s">
        <v>96</v>
      </c>
      <c r="B29" s="87">
        <v>149</v>
      </c>
      <c r="C29" s="87">
        <v>149</v>
      </c>
      <c r="D29" s="87">
        <v>0</v>
      </c>
      <c r="E29" s="88">
        <v>10397</v>
      </c>
      <c r="F29" s="88">
        <v>10409</v>
      </c>
      <c r="G29" s="87">
        <v>0.1</v>
      </c>
      <c r="H29" s="87">
        <v>1549.2</v>
      </c>
      <c r="I29" s="87">
        <v>1550.9</v>
      </c>
      <c r="J29" s="87">
        <v>0.1</v>
      </c>
      <c r="T29" s="126"/>
    </row>
    <row r="30" spans="1:20" ht="15.75" customHeight="1" x14ac:dyDescent="0.2">
      <c r="A30" s="86" t="s">
        <v>97</v>
      </c>
      <c r="B30" s="87">
        <v>15.5</v>
      </c>
      <c r="C30" s="87">
        <v>14.5</v>
      </c>
      <c r="D30" s="87">
        <v>-6.5</v>
      </c>
      <c r="E30" s="88">
        <v>9481</v>
      </c>
      <c r="F30" s="88">
        <v>9367</v>
      </c>
      <c r="G30" s="87">
        <v>-1.2</v>
      </c>
      <c r="H30" s="87">
        <v>147</v>
      </c>
      <c r="I30" s="87">
        <v>135.80000000000001</v>
      </c>
      <c r="J30" s="87">
        <v>-7.6</v>
      </c>
      <c r="T30" s="126"/>
    </row>
    <row r="31" spans="1:20" ht="15.75" customHeight="1" x14ac:dyDescent="0.2">
      <c r="A31" s="146" t="s">
        <v>98</v>
      </c>
      <c r="B31" s="147">
        <v>899.8</v>
      </c>
      <c r="C31" s="147">
        <v>964</v>
      </c>
      <c r="D31" s="147">
        <v>7.1</v>
      </c>
      <c r="E31" s="148">
        <v>6112.0767948432995</v>
      </c>
      <c r="F31" s="148">
        <v>6859.264522821577</v>
      </c>
      <c r="G31" s="147">
        <v>12.2</v>
      </c>
      <c r="H31" s="147">
        <v>5499.7</v>
      </c>
      <c r="I31" s="147">
        <v>6612.4</v>
      </c>
      <c r="J31" s="147">
        <v>20.2</v>
      </c>
    </row>
    <row r="32" spans="1:20" ht="15.75" customHeight="1" x14ac:dyDescent="0.2">
      <c r="A32" s="86" t="s">
        <v>99</v>
      </c>
      <c r="B32" s="87">
        <v>619</v>
      </c>
      <c r="C32" s="87">
        <v>670.4</v>
      </c>
      <c r="D32" s="87">
        <v>8.3000000000000007</v>
      </c>
      <c r="E32" s="88">
        <v>6216</v>
      </c>
      <c r="F32" s="88">
        <v>7085</v>
      </c>
      <c r="G32" s="87">
        <v>14</v>
      </c>
      <c r="H32" s="87">
        <v>3847.7</v>
      </c>
      <c r="I32" s="87">
        <v>4749.8</v>
      </c>
      <c r="J32" s="87">
        <v>23.4</v>
      </c>
      <c r="T32" s="126"/>
    </row>
    <row r="33" spans="1:20" ht="15.75" customHeight="1" x14ac:dyDescent="0.2">
      <c r="A33" s="86" t="s">
        <v>100</v>
      </c>
      <c r="B33" s="87">
        <v>13.6</v>
      </c>
      <c r="C33" s="87">
        <v>13.5</v>
      </c>
      <c r="D33" s="87">
        <v>-0.7</v>
      </c>
      <c r="E33" s="88">
        <v>3537</v>
      </c>
      <c r="F33" s="88">
        <v>3286</v>
      </c>
      <c r="G33" s="87">
        <v>-7.1</v>
      </c>
      <c r="H33" s="87">
        <v>48.1</v>
      </c>
      <c r="I33" s="87">
        <v>44.4</v>
      </c>
      <c r="J33" s="87">
        <v>-7.7</v>
      </c>
      <c r="T33" s="126"/>
    </row>
    <row r="34" spans="1:20" ht="15.75" customHeight="1" x14ac:dyDescent="0.2">
      <c r="A34" s="86" t="s">
        <v>101</v>
      </c>
      <c r="B34" s="87">
        <v>1.5</v>
      </c>
      <c r="C34" s="87">
        <v>1.4</v>
      </c>
      <c r="D34" s="87">
        <v>-6.6</v>
      </c>
      <c r="E34" s="88">
        <v>4655</v>
      </c>
      <c r="F34" s="88">
        <v>4740</v>
      </c>
      <c r="G34" s="87">
        <v>1.8</v>
      </c>
      <c r="H34" s="87">
        <v>7</v>
      </c>
      <c r="I34" s="87">
        <v>6.6</v>
      </c>
      <c r="J34" s="87">
        <v>-5.7</v>
      </c>
      <c r="T34" s="126"/>
    </row>
    <row r="35" spans="1:20" ht="15.75" customHeight="1" x14ac:dyDescent="0.2">
      <c r="A35" s="86" t="s">
        <v>102</v>
      </c>
      <c r="B35" s="87">
        <v>265.7</v>
      </c>
      <c r="C35" s="87">
        <v>278.7</v>
      </c>
      <c r="D35" s="87">
        <v>4.9000000000000004</v>
      </c>
      <c r="E35" s="88">
        <v>6010</v>
      </c>
      <c r="F35" s="88">
        <v>6500</v>
      </c>
      <c r="G35" s="87">
        <v>8.1999999999999993</v>
      </c>
      <c r="H35" s="87">
        <v>1596.9</v>
      </c>
      <c r="I35" s="87">
        <v>1811.6</v>
      </c>
      <c r="J35" s="87">
        <v>13.4</v>
      </c>
      <c r="T35" s="126"/>
    </row>
    <row r="36" spans="1:20" ht="15.75" customHeight="1" x14ac:dyDescent="0.2">
      <c r="A36" s="146" t="s">
        <v>103</v>
      </c>
      <c r="B36" s="147">
        <v>1274.4000000000001</v>
      </c>
      <c r="C36" s="147">
        <v>1491.6</v>
      </c>
      <c r="D36" s="147">
        <v>17</v>
      </c>
      <c r="E36" s="148">
        <v>9016.0497489014433</v>
      </c>
      <c r="F36" s="148">
        <v>8927.9077500670428</v>
      </c>
      <c r="G36" s="147">
        <v>-1</v>
      </c>
      <c r="H36" s="147">
        <v>11490</v>
      </c>
      <c r="I36" s="147">
        <v>13316.9</v>
      </c>
      <c r="J36" s="147">
        <v>15.9</v>
      </c>
    </row>
    <row r="37" spans="1:20" ht="15.75" customHeight="1" x14ac:dyDescent="0.2">
      <c r="A37" s="86" t="s">
        <v>104</v>
      </c>
      <c r="B37" s="87">
        <v>270.8</v>
      </c>
      <c r="C37" s="87">
        <v>364.5</v>
      </c>
      <c r="D37" s="87">
        <v>34.6</v>
      </c>
      <c r="E37" s="88">
        <v>10886</v>
      </c>
      <c r="F37" s="88">
        <v>11325</v>
      </c>
      <c r="G37" s="87">
        <v>4</v>
      </c>
      <c r="H37" s="87">
        <v>2947.9</v>
      </c>
      <c r="I37" s="87">
        <v>4128</v>
      </c>
      <c r="J37" s="87">
        <v>40</v>
      </c>
      <c r="T37" s="126"/>
    </row>
    <row r="38" spans="1:20" ht="15.75" customHeight="1" x14ac:dyDescent="0.2">
      <c r="A38" s="86" t="s">
        <v>105</v>
      </c>
      <c r="B38" s="87">
        <v>288.10000000000002</v>
      </c>
      <c r="C38" s="87">
        <v>310</v>
      </c>
      <c r="D38" s="87">
        <v>7.6</v>
      </c>
      <c r="E38" s="88">
        <v>10800</v>
      </c>
      <c r="F38" s="88">
        <v>10250</v>
      </c>
      <c r="G38" s="87">
        <v>-5.0999999999999996</v>
      </c>
      <c r="H38" s="87">
        <v>3111.5</v>
      </c>
      <c r="I38" s="87">
        <v>3177.5</v>
      </c>
      <c r="J38" s="87">
        <v>2.1</v>
      </c>
      <c r="T38" s="126"/>
    </row>
    <row r="39" spans="1:20" ht="15.75" customHeight="1" x14ac:dyDescent="0.2">
      <c r="A39" s="86" t="s">
        <v>106</v>
      </c>
      <c r="B39" s="87">
        <v>715.5</v>
      </c>
      <c r="C39" s="87">
        <v>817.1</v>
      </c>
      <c r="D39" s="87">
        <v>14.2</v>
      </c>
      <c r="E39" s="88">
        <v>7590</v>
      </c>
      <c r="F39" s="88">
        <v>7357</v>
      </c>
      <c r="G39" s="87">
        <v>-3.1</v>
      </c>
      <c r="H39" s="87">
        <v>5430.6</v>
      </c>
      <c r="I39" s="87">
        <v>6011.4</v>
      </c>
      <c r="J39" s="87">
        <v>10.7</v>
      </c>
      <c r="T39" s="126"/>
    </row>
    <row r="40" spans="1:20" ht="15.75" customHeight="1" x14ac:dyDescent="0.2">
      <c r="A40" s="146" t="s">
        <v>107</v>
      </c>
      <c r="B40" s="147">
        <v>1351</v>
      </c>
      <c r="C40" s="147">
        <v>1393.3999999999999</v>
      </c>
      <c r="D40" s="147">
        <v>3.1</v>
      </c>
      <c r="E40" s="148">
        <v>4088.6105847520357</v>
      </c>
      <c r="F40" s="148">
        <v>5088.079733027128</v>
      </c>
      <c r="G40" s="147">
        <v>24.4</v>
      </c>
      <c r="H40" s="147">
        <v>5523.8</v>
      </c>
      <c r="I40" s="147">
        <v>7089.7</v>
      </c>
      <c r="J40" s="147">
        <v>28.3</v>
      </c>
    </row>
    <row r="41" spans="1:20" ht="15.75" customHeight="1" x14ac:dyDescent="0.2">
      <c r="A41" s="146" t="s">
        <v>108</v>
      </c>
      <c r="B41" s="147">
        <v>2421.6000000000004</v>
      </c>
      <c r="C41" s="147">
        <v>2707.3</v>
      </c>
      <c r="D41" s="147">
        <v>11.8</v>
      </c>
      <c r="E41" s="148">
        <v>8016.1345391476689</v>
      </c>
      <c r="F41" s="148">
        <v>8273.2018246961907</v>
      </c>
      <c r="G41" s="147">
        <v>3.2</v>
      </c>
      <c r="H41" s="147">
        <v>19412</v>
      </c>
      <c r="I41" s="147">
        <v>22398.1</v>
      </c>
      <c r="J41" s="147">
        <v>15.4</v>
      </c>
    </row>
    <row r="42" spans="1:20" ht="15.75" customHeight="1" x14ac:dyDescent="0.2">
      <c r="A42" s="149" t="s">
        <v>58</v>
      </c>
      <c r="B42" s="150">
        <v>3772.6000000000004</v>
      </c>
      <c r="C42" s="150">
        <v>4100.7</v>
      </c>
      <c r="D42" s="150">
        <v>8.6999999999999993</v>
      </c>
      <c r="E42" s="151">
        <v>6609.6549594444132</v>
      </c>
      <c r="F42" s="151">
        <v>7190.9112102811723</v>
      </c>
      <c r="G42" s="150">
        <v>8.8000000000000007</v>
      </c>
      <c r="H42" s="150">
        <v>24935.8</v>
      </c>
      <c r="I42" s="150">
        <v>29487.8</v>
      </c>
      <c r="J42" s="150">
        <v>18.3</v>
      </c>
    </row>
    <row r="43" spans="1:2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212</v>
      </c>
      <c r="E44" s="297"/>
    </row>
    <row r="45" spans="1:20" ht="20.25" customHeight="1" x14ac:dyDescent="0.2">
      <c r="B45" s="194"/>
      <c r="I45" s="194"/>
    </row>
    <row r="46" spans="1:20" ht="20.25" customHeight="1" x14ac:dyDescent="0.2">
      <c r="B46" s="169"/>
      <c r="C46" s="194"/>
      <c r="F46" s="130"/>
      <c r="I46" s="129"/>
    </row>
    <row r="47" spans="1:20" ht="20.25" customHeight="1" x14ac:dyDescent="0.2">
      <c r="B47" s="169"/>
      <c r="C47" s="194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2986100000000003" right="0.40000000000000008" top="0.98402800000000012" bottom="0.98402800000000012" header="0.5" footer="0.5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8.42578125" style="126" customWidth="1"/>
    <col min="5" max="6" width="11.42578125" style="126" customWidth="1"/>
    <col min="7" max="7" width="8.42578125" style="126" customWidth="1"/>
    <col min="8" max="9" width="11.42578125" style="126" customWidth="1"/>
    <col min="10" max="10" width="8.42578125" style="126" customWidth="1"/>
    <col min="11" max="19" width="11.42578125" style="126" customWidth="1"/>
  </cols>
  <sheetData>
    <row r="1" spans="1:20" ht="33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0.25" customHeight="1" x14ac:dyDescent="0.2">
      <c r="A5" s="498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20" ht="20.25" customHeight="1" x14ac:dyDescent="0.2">
      <c r="A6" s="498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20" ht="20.25" customHeight="1" x14ac:dyDescent="0.2">
      <c r="A7" s="499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20" ht="15.75" customHeight="1" x14ac:dyDescent="0.2">
      <c r="A8" s="139" t="s">
        <v>75</v>
      </c>
      <c r="B8" s="140">
        <v>1192.0999999999999</v>
      </c>
      <c r="C8" s="140">
        <v>1250.5</v>
      </c>
      <c r="D8" s="140">
        <v>4.9000000000000004</v>
      </c>
      <c r="E8" s="141">
        <v>5202.5716802281704</v>
      </c>
      <c r="F8" s="141">
        <v>5122.4135945621756</v>
      </c>
      <c r="G8" s="140">
        <v>-1.5</v>
      </c>
      <c r="H8" s="140">
        <v>6202</v>
      </c>
      <c r="I8" s="140">
        <v>6405.6</v>
      </c>
      <c r="J8" s="140">
        <v>3.3</v>
      </c>
    </row>
    <row r="9" spans="1:20" ht="15.75" hidden="1" customHeight="1" x14ac:dyDescent="0.2">
      <c r="A9" s="142" t="s">
        <v>76</v>
      </c>
      <c r="B9" s="145">
        <v>0</v>
      </c>
      <c r="C9" s="145">
        <v>0</v>
      </c>
      <c r="D9" s="143">
        <v>0</v>
      </c>
      <c r="E9" s="186">
        <v>0</v>
      </c>
      <c r="F9" s="186">
        <v>0</v>
      </c>
      <c r="G9" s="145">
        <v>0</v>
      </c>
      <c r="H9" s="145">
        <v>0</v>
      </c>
      <c r="I9" s="145">
        <v>0</v>
      </c>
      <c r="J9" s="145">
        <v>0</v>
      </c>
    </row>
    <row r="10" spans="1:20" ht="15.75" customHeight="1" x14ac:dyDescent="0.2">
      <c r="A10" s="86" t="s">
        <v>77</v>
      </c>
      <c r="B10" s="87">
        <v>477.2</v>
      </c>
      <c r="C10" s="87">
        <v>459.5</v>
      </c>
      <c r="D10" s="87">
        <v>-3.7</v>
      </c>
      <c r="E10" s="88">
        <v>5332</v>
      </c>
      <c r="F10" s="88">
        <v>5176</v>
      </c>
      <c r="G10" s="87">
        <v>-2.9</v>
      </c>
      <c r="H10" s="87">
        <v>2544.4</v>
      </c>
      <c r="I10" s="87">
        <v>2378.4</v>
      </c>
      <c r="J10" s="87">
        <v>-6.5</v>
      </c>
      <c r="T10" s="126"/>
    </row>
    <row r="11" spans="1:20" ht="15.75" customHeight="1" x14ac:dyDescent="0.2">
      <c r="A11" s="86" t="s">
        <v>78</v>
      </c>
      <c r="B11" s="87">
        <v>11.3</v>
      </c>
      <c r="C11" s="87">
        <v>11.3</v>
      </c>
      <c r="D11" s="87">
        <v>0</v>
      </c>
      <c r="E11" s="88">
        <v>4549</v>
      </c>
      <c r="F11" s="88">
        <v>4412</v>
      </c>
      <c r="G11" s="87">
        <v>-3</v>
      </c>
      <c r="H11" s="87">
        <v>51.4</v>
      </c>
      <c r="I11" s="87">
        <v>49.9</v>
      </c>
      <c r="J11" s="87">
        <v>-2.9</v>
      </c>
      <c r="T11" s="126"/>
    </row>
    <row r="12" spans="1:20" ht="15.75" hidden="1" customHeight="1" x14ac:dyDescent="0.2">
      <c r="A12" s="142" t="s">
        <v>79</v>
      </c>
      <c r="B12" s="145">
        <v>0</v>
      </c>
      <c r="C12" s="145">
        <v>0</v>
      </c>
      <c r="D12" s="143">
        <v>0</v>
      </c>
      <c r="E12" s="186"/>
      <c r="F12" s="275"/>
      <c r="G12" s="145">
        <v>0</v>
      </c>
      <c r="H12" s="145">
        <v>0</v>
      </c>
      <c r="I12" s="145">
        <v>0</v>
      </c>
      <c r="J12" s="145">
        <v>0</v>
      </c>
    </row>
    <row r="13" spans="1:20" ht="15.75" hidden="1" customHeight="1" x14ac:dyDescent="0.2">
      <c r="A13" s="142" t="s">
        <v>80</v>
      </c>
      <c r="B13" s="145">
        <v>0</v>
      </c>
      <c r="C13" s="145">
        <v>0</v>
      </c>
      <c r="D13" s="143">
        <v>0</v>
      </c>
      <c r="E13" s="186"/>
      <c r="F13" s="275"/>
      <c r="G13" s="145">
        <v>0</v>
      </c>
      <c r="H13" s="145">
        <v>0</v>
      </c>
      <c r="I13" s="145">
        <v>0</v>
      </c>
      <c r="J13" s="145">
        <v>0</v>
      </c>
    </row>
    <row r="14" spans="1:20" ht="15.75" customHeight="1" x14ac:dyDescent="0.2">
      <c r="A14" s="86" t="s">
        <v>81</v>
      </c>
      <c r="B14" s="87">
        <v>289.3</v>
      </c>
      <c r="C14" s="87">
        <v>358.4</v>
      </c>
      <c r="D14" s="87">
        <v>23.9</v>
      </c>
      <c r="E14" s="88">
        <v>4666</v>
      </c>
      <c r="F14" s="88">
        <v>5086</v>
      </c>
      <c r="G14" s="87">
        <v>9</v>
      </c>
      <c r="H14" s="87">
        <v>1349.9</v>
      </c>
      <c r="I14" s="87">
        <v>1822.8</v>
      </c>
      <c r="J14" s="87">
        <v>35</v>
      </c>
      <c r="T14" s="126"/>
    </row>
    <row r="15" spans="1:20" ht="15.75" customHeight="1" x14ac:dyDescent="0.2">
      <c r="A15" s="86" t="s">
        <v>82</v>
      </c>
      <c r="B15" s="87">
        <v>414.3</v>
      </c>
      <c r="C15" s="87">
        <v>421.3</v>
      </c>
      <c r="D15" s="87">
        <v>1.7</v>
      </c>
      <c r="E15" s="88">
        <v>5446</v>
      </c>
      <c r="F15" s="88">
        <v>5114</v>
      </c>
      <c r="G15" s="87">
        <v>-6.1</v>
      </c>
      <c r="H15" s="87">
        <v>2256.3000000000002</v>
      </c>
      <c r="I15" s="87">
        <v>2154.5</v>
      </c>
      <c r="J15" s="87">
        <v>-4.5</v>
      </c>
      <c r="T15" s="126"/>
    </row>
    <row r="16" spans="1:20" ht="15.75" customHeight="1" x14ac:dyDescent="0.2">
      <c r="A16" s="146" t="s">
        <v>83</v>
      </c>
      <c r="B16" s="147">
        <v>1355.6000000000001</v>
      </c>
      <c r="C16" s="147">
        <v>1247.3</v>
      </c>
      <c r="D16" s="147">
        <v>-8</v>
      </c>
      <c r="E16" s="148">
        <v>2300.9833284154615</v>
      </c>
      <c r="F16" s="148">
        <v>2108.7957989256793</v>
      </c>
      <c r="G16" s="147">
        <v>-8.4</v>
      </c>
      <c r="H16" s="147">
        <v>3119.1</v>
      </c>
      <c r="I16" s="147">
        <v>2630.2000000000003</v>
      </c>
      <c r="J16" s="147">
        <v>-15.7</v>
      </c>
    </row>
    <row r="17" spans="1:20" ht="15.75" customHeight="1" x14ac:dyDescent="0.2">
      <c r="A17" s="86" t="s">
        <v>84</v>
      </c>
      <c r="B17" s="87">
        <v>299</v>
      </c>
      <c r="C17" s="87">
        <v>223.7</v>
      </c>
      <c r="D17" s="87">
        <v>-25.2</v>
      </c>
      <c r="E17" s="88">
        <v>6300</v>
      </c>
      <c r="F17" s="88">
        <v>5082</v>
      </c>
      <c r="G17" s="87">
        <v>-19.3</v>
      </c>
      <c r="H17" s="87">
        <v>1883.7</v>
      </c>
      <c r="I17" s="87">
        <v>1136.8</v>
      </c>
      <c r="J17" s="87">
        <v>-39.700000000000003</v>
      </c>
      <c r="T17" s="126"/>
    </row>
    <row r="18" spans="1:20" ht="15.75" customHeight="1" x14ac:dyDescent="0.2">
      <c r="A18" s="86" t="s">
        <v>85</v>
      </c>
      <c r="B18" s="87">
        <v>103.8</v>
      </c>
      <c r="C18" s="87">
        <v>99.8</v>
      </c>
      <c r="D18" s="87">
        <v>-3.9</v>
      </c>
      <c r="E18" s="88">
        <v>5668</v>
      </c>
      <c r="F18" s="88">
        <v>4549</v>
      </c>
      <c r="G18" s="87">
        <v>-19.7</v>
      </c>
      <c r="H18" s="87">
        <v>588.29999999999995</v>
      </c>
      <c r="I18" s="87">
        <v>454</v>
      </c>
      <c r="J18" s="87">
        <v>-22.8</v>
      </c>
      <c r="T18" s="126"/>
    </row>
    <row r="19" spans="1:20" ht="15.75" customHeight="1" x14ac:dyDescent="0.2">
      <c r="A19" s="86" t="s">
        <v>86</v>
      </c>
      <c r="B19" s="87">
        <v>591</v>
      </c>
      <c r="C19" s="87">
        <v>583.9</v>
      </c>
      <c r="D19" s="87">
        <v>-1.2</v>
      </c>
      <c r="E19" s="88">
        <v>466</v>
      </c>
      <c r="F19" s="88">
        <v>1254</v>
      </c>
      <c r="G19" s="87">
        <v>169.1</v>
      </c>
      <c r="H19" s="87">
        <v>275.39999999999998</v>
      </c>
      <c r="I19" s="87">
        <v>732.2</v>
      </c>
      <c r="J19" s="87">
        <v>165.9</v>
      </c>
      <c r="T19" s="126"/>
    </row>
    <row r="20" spans="1:20" ht="15.75" customHeight="1" x14ac:dyDescent="0.2">
      <c r="A20" s="86" t="s">
        <v>87</v>
      </c>
      <c r="B20" s="87">
        <v>64.2</v>
      </c>
      <c r="C20" s="87">
        <v>61.7</v>
      </c>
      <c r="D20" s="87">
        <v>-3.9</v>
      </c>
      <c r="E20" s="88">
        <v>321</v>
      </c>
      <c r="F20" s="88">
        <v>516</v>
      </c>
      <c r="G20" s="87">
        <v>60.7</v>
      </c>
      <c r="H20" s="87">
        <v>20.6</v>
      </c>
      <c r="I20" s="87">
        <v>31.8</v>
      </c>
      <c r="J20" s="87">
        <v>54.4</v>
      </c>
      <c r="T20" s="126"/>
    </row>
    <row r="21" spans="1:20" ht="15.75" customHeight="1" x14ac:dyDescent="0.2">
      <c r="A21" s="86" t="s">
        <v>88</v>
      </c>
      <c r="B21" s="87">
        <v>117.2</v>
      </c>
      <c r="C21" s="87">
        <v>99.6</v>
      </c>
      <c r="D21" s="87">
        <v>-15</v>
      </c>
      <c r="E21" s="88">
        <v>449</v>
      </c>
      <c r="F21" s="88">
        <v>543</v>
      </c>
      <c r="G21" s="87">
        <v>20.9</v>
      </c>
      <c r="H21" s="87">
        <v>52.6</v>
      </c>
      <c r="I21" s="87">
        <v>54.1</v>
      </c>
      <c r="J21" s="87">
        <v>2.9</v>
      </c>
      <c r="T21" s="126"/>
    </row>
    <row r="22" spans="1:20" ht="15.75" customHeight="1" x14ac:dyDescent="0.2">
      <c r="A22" s="86" t="s">
        <v>89</v>
      </c>
      <c r="B22" s="87">
        <v>130.4</v>
      </c>
      <c r="C22" s="87">
        <v>128.6</v>
      </c>
      <c r="D22" s="87">
        <v>-1.4</v>
      </c>
      <c r="E22" s="88">
        <v>794</v>
      </c>
      <c r="F22" s="88">
        <v>788</v>
      </c>
      <c r="G22" s="87">
        <v>-0.8</v>
      </c>
      <c r="H22" s="87">
        <v>103.5</v>
      </c>
      <c r="I22" s="87">
        <v>101.3</v>
      </c>
      <c r="J22" s="87">
        <v>-2.1</v>
      </c>
      <c r="T22" s="126"/>
    </row>
    <row r="23" spans="1:20" ht="15.75" hidden="1" customHeight="1" x14ac:dyDescent="0.2">
      <c r="A23" s="142" t="s">
        <v>90</v>
      </c>
      <c r="B23" s="145">
        <v>0</v>
      </c>
      <c r="C23" s="145">
        <v>0</v>
      </c>
      <c r="D23" s="143">
        <v>0</v>
      </c>
      <c r="E23" s="399"/>
      <c r="F23" s="399"/>
      <c r="G23" s="398">
        <v>0</v>
      </c>
      <c r="H23" s="145">
        <v>0</v>
      </c>
      <c r="I23" s="145">
        <v>0</v>
      </c>
      <c r="J23" s="145">
        <v>0</v>
      </c>
    </row>
    <row r="24" spans="1:20" ht="15.75" hidden="1" customHeight="1" x14ac:dyDescent="0.2">
      <c r="A24" s="142" t="s">
        <v>91</v>
      </c>
      <c r="B24" s="145">
        <v>0</v>
      </c>
      <c r="C24" s="145">
        <v>0</v>
      </c>
      <c r="D24" s="143">
        <v>0</v>
      </c>
      <c r="E24" s="399"/>
      <c r="F24" s="399"/>
      <c r="G24" s="398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50</v>
      </c>
      <c r="C25" s="87">
        <v>50</v>
      </c>
      <c r="D25" s="87">
        <v>0</v>
      </c>
      <c r="E25" s="88">
        <v>3900</v>
      </c>
      <c r="F25" s="88">
        <v>2400</v>
      </c>
      <c r="G25" s="87">
        <v>-38.5</v>
      </c>
      <c r="H25" s="87">
        <v>195</v>
      </c>
      <c r="I25" s="87">
        <v>120</v>
      </c>
      <c r="J25" s="87">
        <v>-38.5</v>
      </c>
      <c r="T25" s="126"/>
    </row>
    <row r="26" spans="1:20" ht="15.75" customHeight="1" x14ac:dyDescent="0.2">
      <c r="A26" s="146" t="s">
        <v>93</v>
      </c>
      <c r="B26" s="147">
        <v>11146.900000000001</v>
      </c>
      <c r="C26" s="147">
        <v>11465.800000000001</v>
      </c>
      <c r="D26" s="147">
        <v>2.9</v>
      </c>
      <c r="E26" s="148">
        <v>7275.3592658048419</v>
      </c>
      <c r="F26" s="148">
        <v>7010.2908039561116</v>
      </c>
      <c r="G26" s="147">
        <v>-3.6</v>
      </c>
      <c r="H26" s="147">
        <v>81097.7</v>
      </c>
      <c r="I26" s="147">
        <v>80378.600000000006</v>
      </c>
      <c r="J26" s="147">
        <v>-0.9</v>
      </c>
    </row>
    <row r="27" spans="1:20" ht="15.75" customHeight="1" x14ac:dyDescent="0.2">
      <c r="A27" s="86" t="s">
        <v>94</v>
      </c>
      <c r="B27" s="87">
        <v>7214.7</v>
      </c>
      <c r="C27" s="87">
        <v>7546.6</v>
      </c>
      <c r="D27" s="87">
        <v>4.5999999999999996</v>
      </c>
      <c r="E27" s="88">
        <v>7613</v>
      </c>
      <c r="F27" s="88">
        <v>7681</v>
      </c>
      <c r="G27" s="87">
        <v>0.9</v>
      </c>
      <c r="H27" s="87">
        <v>54925.5</v>
      </c>
      <c r="I27" s="87">
        <v>57965.4</v>
      </c>
      <c r="J27" s="87">
        <v>5.5</v>
      </c>
      <c r="T27" s="126"/>
    </row>
    <row r="28" spans="1:20" ht="15.75" customHeight="1" x14ac:dyDescent="0.2">
      <c r="A28" s="86" t="s">
        <v>95</v>
      </c>
      <c r="B28" s="87">
        <v>2071.4</v>
      </c>
      <c r="C28" s="87">
        <v>2125.3000000000002</v>
      </c>
      <c r="D28" s="87">
        <v>2.6</v>
      </c>
      <c r="E28" s="88">
        <v>6366</v>
      </c>
      <c r="F28" s="88">
        <v>6278</v>
      </c>
      <c r="G28" s="87">
        <v>-1.4</v>
      </c>
      <c r="H28" s="87">
        <v>13186.5</v>
      </c>
      <c r="I28" s="87">
        <v>13342.6</v>
      </c>
      <c r="J28" s="87">
        <v>1.2</v>
      </c>
      <c r="T28" s="126"/>
    </row>
    <row r="29" spans="1:20" ht="15.75" customHeight="1" x14ac:dyDescent="0.2">
      <c r="A29" s="86" t="s">
        <v>96</v>
      </c>
      <c r="B29" s="87">
        <v>1820.1</v>
      </c>
      <c r="C29" s="87">
        <v>1750.9</v>
      </c>
      <c r="D29" s="87">
        <v>-3.8</v>
      </c>
      <c r="E29" s="88">
        <v>6987</v>
      </c>
      <c r="F29" s="88">
        <v>5027</v>
      </c>
      <c r="G29" s="87">
        <v>-28.1</v>
      </c>
      <c r="H29" s="87">
        <v>12717</v>
      </c>
      <c r="I29" s="87">
        <v>8801.7999999999993</v>
      </c>
      <c r="J29" s="87">
        <v>-30.8</v>
      </c>
      <c r="T29" s="126"/>
    </row>
    <row r="30" spans="1:20" ht="15.75" customHeight="1" x14ac:dyDescent="0.2">
      <c r="A30" s="86" t="s">
        <v>97</v>
      </c>
      <c r="B30" s="87">
        <v>40.700000000000003</v>
      </c>
      <c r="C30" s="87">
        <v>43</v>
      </c>
      <c r="D30" s="87">
        <v>5.7</v>
      </c>
      <c r="E30" s="88">
        <v>6600</v>
      </c>
      <c r="F30" s="88">
        <v>6250</v>
      </c>
      <c r="G30" s="87">
        <v>-5.3</v>
      </c>
      <c r="H30" s="87">
        <v>268.60000000000002</v>
      </c>
      <c r="I30" s="87">
        <v>268.8</v>
      </c>
      <c r="J30" s="87">
        <v>0.1</v>
      </c>
      <c r="T30" s="126"/>
    </row>
    <row r="31" spans="1:20" ht="15.75" customHeight="1" x14ac:dyDescent="0.2">
      <c r="A31" s="139" t="s">
        <v>98</v>
      </c>
      <c r="B31" s="140">
        <v>946.8</v>
      </c>
      <c r="C31" s="140">
        <v>938.5</v>
      </c>
      <c r="D31" s="140">
        <v>-0.9</v>
      </c>
      <c r="E31" s="141">
        <v>5872.5716096324459</v>
      </c>
      <c r="F31" s="141">
        <v>5768.1401172083115</v>
      </c>
      <c r="G31" s="140">
        <v>-1.8</v>
      </c>
      <c r="H31" s="140">
        <v>5560.1</v>
      </c>
      <c r="I31" s="140">
        <v>5413.4</v>
      </c>
      <c r="J31" s="140">
        <v>-2.6</v>
      </c>
    </row>
    <row r="32" spans="1:20" ht="15.75" customHeight="1" x14ac:dyDescent="0.2">
      <c r="A32" s="86" t="s">
        <v>99</v>
      </c>
      <c r="B32" s="87">
        <v>464.7</v>
      </c>
      <c r="C32" s="87">
        <v>441.5</v>
      </c>
      <c r="D32" s="87">
        <v>-3.8</v>
      </c>
      <c r="E32" s="88">
        <v>5904</v>
      </c>
      <c r="F32" s="88">
        <v>5629</v>
      </c>
      <c r="G32" s="87">
        <v>-4.7</v>
      </c>
      <c r="H32" s="87">
        <v>2743.6</v>
      </c>
      <c r="I32" s="87">
        <v>2485.1999999999998</v>
      </c>
      <c r="J32" s="87">
        <v>-9.4</v>
      </c>
      <c r="T32" s="126"/>
    </row>
    <row r="33" spans="1:20" ht="15.75" customHeight="1" x14ac:dyDescent="0.2">
      <c r="A33" s="86" t="s">
        <v>100</v>
      </c>
      <c r="B33" s="87">
        <v>3</v>
      </c>
      <c r="C33" s="87">
        <v>3</v>
      </c>
      <c r="D33" s="87">
        <v>0</v>
      </c>
      <c r="E33" s="88">
        <v>4609</v>
      </c>
      <c r="F33" s="88">
        <v>4532</v>
      </c>
      <c r="G33" s="87">
        <v>-1.7</v>
      </c>
      <c r="H33" s="87">
        <v>13.8</v>
      </c>
      <c r="I33" s="87">
        <v>13.6</v>
      </c>
      <c r="J33" s="87">
        <v>-1.4</v>
      </c>
      <c r="T33" s="126"/>
    </row>
    <row r="34" spans="1:20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/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20" ht="15.75" customHeight="1" x14ac:dyDescent="0.2">
      <c r="A35" s="86" t="s">
        <v>102</v>
      </c>
      <c r="B35" s="87">
        <v>479.1</v>
      </c>
      <c r="C35" s="87">
        <v>494</v>
      </c>
      <c r="D35" s="87">
        <v>3.1</v>
      </c>
      <c r="E35" s="88">
        <v>5850</v>
      </c>
      <c r="F35" s="88">
        <v>5900</v>
      </c>
      <c r="G35" s="87">
        <v>0.9</v>
      </c>
      <c r="H35" s="87">
        <v>2802.7</v>
      </c>
      <c r="I35" s="87">
        <v>2914.6</v>
      </c>
      <c r="J35" s="87">
        <v>4</v>
      </c>
      <c r="T35" s="126"/>
    </row>
    <row r="36" spans="1:20" ht="15.75" customHeight="1" x14ac:dyDescent="0.2">
      <c r="A36" s="139" t="s">
        <v>103</v>
      </c>
      <c r="B36" s="140">
        <v>2788.9</v>
      </c>
      <c r="C36" s="140">
        <v>2922.8</v>
      </c>
      <c r="D36" s="140">
        <v>4.8</v>
      </c>
      <c r="E36" s="141">
        <v>6185</v>
      </c>
      <c r="F36" s="141">
        <v>5920</v>
      </c>
      <c r="G36" s="140">
        <v>-4.3</v>
      </c>
      <c r="H36" s="140">
        <v>17249.3</v>
      </c>
      <c r="I36" s="140">
        <v>17303</v>
      </c>
      <c r="J36" s="140">
        <v>0.3</v>
      </c>
    </row>
    <row r="37" spans="1:20" ht="15.75" customHeight="1" x14ac:dyDescent="0.2">
      <c r="A37" s="86" t="s">
        <v>104</v>
      </c>
      <c r="B37" s="87">
        <v>2788.9</v>
      </c>
      <c r="C37" s="87">
        <v>2922.8</v>
      </c>
      <c r="D37" s="87">
        <v>4.8</v>
      </c>
      <c r="E37" s="88">
        <v>6185</v>
      </c>
      <c r="F37" s="88">
        <v>5920</v>
      </c>
      <c r="G37" s="87">
        <v>-4.3</v>
      </c>
      <c r="H37" s="87">
        <v>17249.3</v>
      </c>
      <c r="I37" s="87">
        <v>17303</v>
      </c>
      <c r="J37" s="87">
        <v>0.3</v>
      </c>
      <c r="T37" s="126"/>
    </row>
    <row r="38" spans="1:2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>
        <v>0</v>
      </c>
      <c r="F39" s="144">
        <v>0</v>
      </c>
      <c r="G39" s="145">
        <v>0</v>
      </c>
      <c r="H39" s="143">
        <v>0</v>
      </c>
      <c r="I39" s="143">
        <v>0</v>
      </c>
      <c r="J39" s="143">
        <v>0</v>
      </c>
    </row>
    <row r="40" spans="1:20" ht="15.75" customHeight="1" x14ac:dyDescent="0.2">
      <c r="A40" s="146" t="s">
        <v>107</v>
      </c>
      <c r="B40" s="147">
        <v>2547.6999999999998</v>
      </c>
      <c r="C40" s="147">
        <v>2497.8000000000002</v>
      </c>
      <c r="D40" s="147">
        <v>-2</v>
      </c>
      <c r="E40" s="148">
        <v>3658.6720178984974</v>
      </c>
      <c r="F40" s="148">
        <v>3617.5351108975892</v>
      </c>
      <c r="G40" s="147">
        <v>-1.1000000000000001</v>
      </c>
      <c r="H40" s="147">
        <v>9321.2000000000007</v>
      </c>
      <c r="I40" s="147">
        <v>9035.9</v>
      </c>
      <c r="J40" s="147">
        <v>-3.1</v>
      </c>
    </row>
    <row r="41" spans="1:20" ht="15.75" customHeight="1" x14ac:dyDescent="0.2">
      <c r="A41" s="146" t="s">
        <v>108</v>
      </c>
      <c r="B41" s="147">
        <v>14882.6</v>
      </c>
      <c r="C41" s="147">
        <v>15327.100000000002</v>
      </c>
      <c r="D41" s="147">
        <v>3</v>
      </c>
      <c r="E41" s="148">
        <v>6981.7907825245584</v>
      </c>
      <c r="F41" s="148">
        <v>6726.3192515218134</v>
      </c>
      <c r="G41" s="147">
        <v>-3.7</v>
      </c>
      <c r="H41" s="147">
        <v>103907.2</v>
      </c>
      <c r="I41" s="147">
        <v>103095</v>
      </c>
      <c r="J41" s="147">
        <v>-0.8</v>
      </c>
    </row>
    <row r="42" spans="1:20" ht="15.75" customHeight="1" x14ac:dyDescent="0.2">
      <c r="A42" s="149" t="s">
        <v>58</v>
      </c>
      <c r="B42" s="150">
        <v>17430.3</v>
      </c>
      <c r="C42" s="150">
        <v>17824.900000000001</v>
      </c>
      <c r="D42" s="150">
        <v>2.2999999999999998</v>
      </c>
      <c r="E42" s="151">
        <v>6496.0670900672967</v>
      </c>
      <c r="F42" s="151">
        <v>6290.6858944510204</v>
      </c>
      <c r="G42" s="150">
        <v>-3.2</v>
      </c>
      <c r="H42" s="150">
        <v>113228.4</v>
      </c>
      <c r="I42" s="150">
        <v>112130.8</v>
      </c>
      <c r="J42" s="150">
        <v>-1</v>
      </c>
    </row>
    <row r="43" spans="1:2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212</v>
      </c>
    </row>
    <row r="45" spans="1:20" ht="21" customHeight="1" x14ac:dyDescent="0.2">
      <c r="G45" s="129"/>
    </row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0.42578125" style="126" customWidth="1"/>
    <col min="2" max="3" width="11.42578125" style="126" customWidth="1"/>
    <col min="4" max="4" width="10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9" style="126" customWidth="1"/>
    <col min="11" max="24" width="11.42578125" style="126" customWidth="1"/>
  </cols>
  <sheetData>
    <row r="1" spans="1:24" ht="32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24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4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4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4" ht="20.25" customHeight="1" x14ac:dyDescent="0.2">
      <c r="A5" s="498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24" ht="20.25" customHeight="1" x14ac:dyDescent="0.2">
      <c r="A6" s="498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24" ht="20.25" customHeight="1" x14ac:dyDescent="0.2">
      <c r="A7" s="499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24" ht="15.75" customHeight="1" x14ac:dyDescent="0.2">
      <c r="A8" s="139" t="s">
        <v>75</v>
      </c>
      <c r="B8" s="140">
        <v>22</v>
      </c>
      <c r="C8" s="140">
        <v>18</v>
      </c>
      <c r="D8" s="140">
        <v>-18.2</v>
      </c>
      <c r="E8" s="141">
        <v>5542.636363636364</v>
      </c>
      <c r="F8" s="141">
        <v>4108.5555555555557</v>
      </c>
      <c r="G8" s="140">
        <v>-25.9</v>
      </c>
      <c r="H8" s="140">
        <v>121.9</v>
      </c>
      <c r="I8" s="140">
        <v>74</v>
      </c>
      <c r="J8" s="140">
        <v>-39.299999999999997</v>
      </c>
    </row>
    <row r="9" spans="1:24" ht="15.75" customHeight="1" x14ac:dyDescent="0.2">
      <c r="A9" s="86" t="s">
        <v>76</v>
      </c>
      <c r="B9" s="87">
        <v>20</v>
      </c>
      <c r="C9" s="87">
        <v>16</v>
      </c>
      <c r="D9" s="87">
        <v>-20</v>
      </c>
      <c r="E9" s="88">
        <v>6000</v>
      </c>
      <c r="F9" s="88">
        <v>4500</v>
      </c>
      <c r="G9" s="87">
        <v>-25</v>
      </c>
      <c r="H9" s="87">
        <v>120</v>
      </c>
      <c r="I9" s="87">
        <v>72</v>
      </c>
      <c r="J9" s="87">
        <v>-40</v>
      </c>
      <c r="U9"/>
      <c r="V9"/>
      <c r="W9"/>
      <c r="X9"/>
    </row>
    <row r="10" spans="1:24" ht="14.2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24" ht="14.2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24" ht="14.2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24" ht="15.75" customHeight="1" x14ac:dyDescent="0.2">
      <c r="A13" s="142" t="s">
        <v>80</v>
      </c>
      <c r="B13" s="143">
        <v>2</v>
      </c>
      <c r="C13" s="143">
        <v>2</v>
      </c>
      <c r="D13" s="143">
        <v>0</v>
      </c>
      <c r="E13" s="144">
        <v>969</v>
      </c>
      <c r="F13" s="144">
        <v>977</v>
      </c>
      <c r="G13" s="145">
        <v>0.8</v>
      </c>
      <c r="H13" s="143">
        <v>1.9</v>
      </c>
      <c r="I13" s="143">
        <v>2</v>
      </c>
      <c r="J13" s="143">
        <v>5.3</v>
      </c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</row>
    <row r="14" spans="1:24" ht="14.25" hidden="1" customHeight="1" x14ac:dyDescent="0.2">
      <c r="A14" s="142" t="s">
        <v>81</v>
      </c>
      <c r="B14" s="143">
        <v>0</v>
      </c>
      <c r="C14" s="143">
        <v>0</v>
      </c>
      <c r="D14" s="143">
        <v>0</v>
      </c>
      <c r="E14" s="144"/>
      <c r="F14" s="144"/>
      <c r="G14" s="145">
        <v>0</v>
      </c>
      <c r="H14" s="143">
        <v>0</v>
      </c>
      <c r="I14" s="143">
        <v>0</v>
      </c>
      <c r="J14" s="143">
        <v>0</v>
      </c>
    </row>
    <row r="15" spans="1:24" ht="15.75" hidden="1" customHeight="1" x14ac:dyDescent="0.2">
      <c r="A15" s="142" t="s">
        <v>82</v>
      </c>
      <c r="B15" s="143">
        <v>0</v>
      </c>
      <c r="C15" s="143">
        <v>0</v>
      </c>
      <c r="D15" s="143">
        <v>0</v>
      </c>
      <c r="E15" s="144"/>
      <c r="F15" s="144"/>
      <c r="G15" s="145">
        <v>0</v>
      </c>
      <c r="H15" s="143">
        <v>0</v>
      </c>
      <c r="I15" s="143">
        <v>0</v>
      </c>
      <c r="J15" s="143">
        <v>0</v>
      </c>
    </row>
    <row r="16" spans="1:24" ht="15.75" customHeight="1" x14ac:dyDescent="0.2">
      <c r="A16" s="146" t="s">
        <v>83</v>
      </c>
      <c r="B16" s="147">
        <v>613.1</v>
      </c>
      <c r="C16" s="147">
        <v>656.9</v>
      </c>
      <c r="D16" s="147">
        <v>7.1</v>
      </c>
      <c r="E16" s="148">
        <v>4683.8647855162289</v>
      </c>
      <c r="F16" s="148">
        <v>3527.1004719135331</v>
      </c>
      <c r="G16" s="147">
        <v>-24.7</v>
      </c>
      <c r="H16" s="147">
        <v>2871.7</v>
      </c>
      <c r="I16" s="147">
        <v>2317</v>
      </c>
      <c r="J16" s="147">
        <v>-19.3</v>
      </c>
    </row>
    <row r="17" spans="1:24" ht="15.75" hidden="1" customHeight="1" x14ac:dyDescent="0.2">
      <c r="A17" s="142" t="s">
        <v>84</v>
      </c>
      <c r="B17" s="143">
        <v>0</v>
      </c>
      <c r="C17" s="143">
        <v>0</v>
      </c>
      <c r="D17" s="143">
        <v>0</v>
      </c>
      <c r="E17" s="144"/>
      <c r="F17" s="144"/>
      <c r="G17" s="145">
        <v>0</v>
      </c>
      <c r="H17" s="143">
        <v>0</v>
      </c>
      <c r="I17" s="143">
        <v>0</v>
      </c>
      <c r="J17" s="143">
        <v>0</v>
      </c>
    </row>
    <row r="18" spans="1:24" ht="15.75" hidden="1" customHeight="1" x14ac:dyDescent="0.2">
      <c r="A18" s="142" t="s">
        <v>85</v>
      </c>
      <c r="B18" s="143">
        <v>0</v>
      </c>
      <c r="C18" s="143">
        <v>0</v>
      </c>
      <c r="D18" s="143">
        <v>0</v>
      </c>
      <c r="E18" s="144"/>
      <c r="F18" s="144"/>
      <c r="G18" s="145">
        <v>0</v>
      </c>
      <c r="H18" s="143">
        <v>0</v>
      </c>
      <c r="I18" s="143">
        <v>0</v>
      </c>
      <c r="J18" s="143">
        <v>0</v>
      </c>
    </row>
    <row r="19" spans="1:24" ht="15.75" hidden="1" customHeight="1" x14ac:dyDescent="0.2">
      <c r="A19" s="142" t="s">
        <v>86</v>
      </c>
      <c r="B19" s="143">
        <v>0</v>
      </c>
      <c r="C19" s="143">
        <v>0</v>
      </c>
      <c r="D19" s="143">
        <v>0</v>
      </c>
      <c r="E19" s="144"/>
      <c r="F19" s="144"/>
      <c r="G19" s="145">
        <v>0</v>
      </c>
      <c r="H19" s="143">
        <v>0</v>
      </c>
      <c r="I19" s="143">
        <v>0</v>
      </c>
      <c r="J19" s="143">
        <v>0</v>
      </c>
    </row>
    <row r="20" spans="1:24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/>
      <c r="F20" s="144"/>
      <c r="G20" s="145">
        <v>0</v>
      </c>
      <c r="H20" s="143">
        <v>0</v>
      </c>
      <c r="I20" s="143">
        <v>0</v>
      </c>
      <c r="J20" s="143">
        <v>0</v>
      </c>
    </row>
    <row r="21" spans="1:24" ht="15.75" hidden="1" customHeight="1" x14ac:dyDescent="0.2">
      <c r="A21" s="142" t="s">
        <v>88</v>
      </c>
      <c r="B21" s="143">
        <v>0</v>
      </c>
      <c r="C21" s="143">
        <v>0</v>
      </c>
      <c r="D21" s="143">
        <v>0</v>
      </c>
      <c r="E21" s="144"/>
      <c r="F21" s="144"/>
      <c r="G21" s="145">
        <v>0</v>
      </c>
      <c r="H21" s="143">
        <v>0</v>
      </c>
      <c r="I21" s="143">
        <v>0</v>
      </c>
      <c r="J21" s="143">
        <v>0</v>
      </c>
    </row>
    <row r="22" spans="1:24" ht="15.75" customHeight="1" x14ac:dyDescent="0.2">
      <c r="A22" s="86" t="s">
        <v>89</v>
      </c>
      <c r="B22" s="87">
        <v>65.8</v>
      </c>
      <c r="C22" s="87">
        <v>66.8</v>
      </c>
      <c r="D22" s="87">
        <v>1.5</v>
      </c>
      <c r="E22" s="88">
        <v>1857</v>
      </c>
      <c r="F22" s="88">
        <v>1843</v>
      </c>
      <c r="G22" s="87">
        <v>-0.8</v>
      </c>
      <c r="H22" s="87">
        <v>122.2</v>
      </c>
      <c r="I22" s="87">
        <v>123.1</v>
      </c>
      <c r="J22" s="87">
        <v>0.7</v>
      </c>
      <c r="U22"/>
      <c r="V22"/>
      <c r="W22"/>
      <c r="X22"/>
    </row>
    <row r="23" spans="1:24" ht="15.75" customHeight="1" x14ac:dyDescent="0.2">
      <c r="A23" s="86" t="s">
        <v>90</v>
      </c>
      <c r="B23" s="87">
        <v>31.2</v>
      </c>
      <c r="C23" s="87">
        <v>37</v>
      </c>
      <c r="D23" s="87">
        <v>18.600000000000001</v>
      </c>
      <c r="E23" s="88">
        <v>5230</v>
      </c>
      <c r="F23" s="88">
        <v>2203</v>
      </c>
      <c r="G23" s="87">
        <v>-57.9</v>
      </c>
      <c r="H23" s="87">
        <v>163.19999999999999</v>
      </c>
      <c r="I23" s="87">
        <v>81.5</v>
      </c>
      <c r="J23" s="87">
        <v>-50.1</v>
      </c>
      <c r="U23"/>
      <c r="V23"/>
      <c r="W23"/>
      <c r="X23"/>
    </row>
    <row r="24" spans="1:24" ht="15.75" customHeight="1" x14ac:dyDescent="0.2">
      <c r="A24" s="142" t="s">
        <v>91</v>
      </c>
      <c r="B24" s="143">
        <v>186.1</v>
      </c>
      <c r="C24" s="143">
        <v>186.1</v>
      </c>
      <c r="D24" s="143">
        <v>0</v>
      </c>
      <c r="E24" s="144">
        <v>6769</v>
      </c>
      <c r="F24" s="144">
        <v>4399</v>
      </c>
      <c r="G24" s="145">
        <v>-35</v>
      </c>
      <c r="H24" s="143">
        <v>1259.7</v>
      </c>
      <c r="I24" s="143">
        <v>818.7</v>
      </c>
      <c r="J24" s="143">
        <v>-35</v>
      </c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</row>
    <row r="25" spans="1:24" ht="15.75" customHeight="1" x14ac:dyDescent="0.2">
      <c r="A25" s="86" t="s">
        <v>92</v>
      </c>
      <c r="B25" s="87">
        <v>330</v>
      </c>
      <c r="C25" s="87">
        <v>367</v>
      </c>
      <c r="D25" s="87">
        <v>11.2</v>
      </c>
      <c r="E25" s="88">
        <v>4020</v>
      </c>
      <c r="F25" s="88">
        <v>3525</v>
      </c>
      <c r="G25" s="87">
        <v>-12.3</v>
      </c>
      <c r="H25" s="87">
        <v>1326.6</v>
      </c>
      <c r="I25" s="87">
        <v>1293.7</v>
      </c>
      <c r="J25" s="87">
        <v>-2.5</v>
      </c>
      <c r="U25"/>
      <c r="V25"/>
      <c r="W25"/>
      <c r="X25"/>
    </row>
    <row r="26" spans="1:24" ht="15.75" hidden="1" customHeight="1" x14ac:dyDescent="0.2">
      <c r="A26" s="146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24" ht="15.75" hidden="1" customHeight="1" x14ac:dyDescent="0.2">
      <c r="A27" s="142" t="s">
        <v>94</v>
      </c>
      <c r="B27" s="143">
        <v>0</v>
      </c>
      <c r="C27" s="143">
        <v>0</v>
      </c>
      <c r="D27" s="143">
        <v>0</v>
      </c>
      <c r="E27" s="144"/>
      <c r="F27" s="144"/>
      <c r="G27" s="145">
        <v>0</v>
      </c>
      <c r="H27" s="143">
        <v>0</v>
      </c>
      <c r="I27" s="143">
        <v>0</v>
      </c>
      <c r="J27" s="143">
        <v>0</v>
      </c>
    </row>
    <row r="28" spans="1:24" ht="15.75" hidden="1" customHeight="1" x14ac:dyDescent="0.2">
      <c r="A28" s="142" t="s">
        <v>95</v>
      </c>
      <c r="B28" s="143">
        <v>0</v>
      </c>
      <c r="C28" s="143">
        <v>0</v>
      </c>
      <c r="D28" s="143">
        <v>0</v>
      </c>
      <c r="E28" s="144"/>
      <c r="F28" s="144"/>
      <c r="G28" s="145">
        <v>0</v>
      </c>
      <c r="H28" s="143">
        <v>0</v>
      </c>
      <c r="I28" s="143">
        <v>0</v>
      </c>
      <c r="J28" s="143">
        <v>0</v>
      </c>
    </row>
    <row r="29" spans="1:24" ht="15.7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/>
      <c r="F29" s="144"/>
      <c r="G29" s="145">
        <v>0</v>
      </c>
      <c r="H29" s="143">
        <v>0</v>
      </c>
      <c r="I29" s="143">
        <v>0</v>
      </c>
      <c r="J29" s="143">
        <v>0</v>
      </c>
    </row>
    <row r="30" spans="1:24" ht="15.7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/>
      <c r="F30" s="144"/>
      <c r="G30" s="145">
        <v>0</v>
      </c>
      <c r="H30" s="143">
        <v>0</v>
      </c>
      <c r="I30" s="143">
        <v>0</v>
      </c>
      <c r="J30" s="143">
        <v>0</v>
      </c>
    </row>
    <row r="31" spans="1:24" ht="15.75" hidden="1" customHeight="1" x14ac:dyDescent="0.2">
      <c r="A31" s="146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24" ht="15.7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/>
      <c r="F32" s="144"/>
      <c r="G32" s="145">
        <v>0</v>
      </c>
      <c r="H32" s="143">
        <v>0</v>
      </c>
      <c r="I32" s="143">
        <v>0</v>
      </c>
      <c r="J32" s="143">
        <v>0</v>
      </c>
    </row>
    <row r="33" spans="1:10" ht="15.7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/>
      <c r="F33" s="144"/>
      <c r="G33" s="145">
        <v>0</v>
      </c>
      <c r="H33" s="143">
        <v>0</v>
      </c>
      <c r="I33" s="143">
        <v>0</v>
      </c>
      <c r="J33" s="143">
        <v>0</v>
      </c>
    </row>
    <row r="34" spans="1:10" ht="15.7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/>
      <c r="F34" s="144"/>
      <c r="G34" s="145">
        <v>0</v>
      </c>
      <c r="H34" s="143">
        <v>0</v>
      </c>
      <c r="I34" s="143">
        <v>0</v>
      </c>
      <c r="J34" s="143">
        <v>0</v>
      </c>
    </row>
    <row r="35" spans="1:10" ht="15.7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/>
      <c r="F35" s="144"/>
      <c r="G35" s="145">
        <v>0</v>
      </c>
      <c r="H35" s="143">
        <v>0</v>
      </c>
      <c r="I35" s="143">
        <v>0</v>
      </c>
      <c r="J35" s="143">
        <v>0</v>
      </c>
    </row>
    <row r="36" spans="1:10" ht="15.75" hidden="1" customHeight="1" x14ac:dyDescent="0.2">
      <c r="A36" s="146" t="s">
        <v>103</v>
      </c>
      <c r="B36" s="147">
        <v>0</v>
      </c>
      <c r="C36" s="147">
        <v>0</v>
      </c>
      <c r="D36" s="147">
        <v>0</v>
      </c>
      <c r="E36" s="148">
        <v>0</v>
      </c>
      <c r="F36" s="148">
        <v>0</v>
      </c>
      <c r="G36" s="147">
        <v>0</v>
      </c>
      <c r="H36" s="147">
        <v>0</v>
      </c>
      <c r="I36" s="147">
        <v>0</v>
      </c>
      <c r="J36" s="147">
        <v>0</v>
      </c>
    </row>
    <row r="37" spans="1:10" ht="15.75" hidden="1" customHeight="1" x14ac:dyDescent="0.2">
      <c r="A37" s="142" t="s">
        <v>104</v>
      </c>
      <c r="B37" s="143">
        <v>0</v>
      </c>
      <c r="C37" s="143">
        <v>0</v>
      </c>
      <c r="D37" s="143">
        <v>0</v>
      </c>
      <c r="E37" s="144"/>
      <c r="F37" s="144"/>
      <c r="G37" s="145">
        <v>0</v>
      </c>
      <c r="H37" s="143">
        <v>0</v>
      </c>
      <c r="I37" s="143">
        <v>0</v>
      </c>
      <c r="J37" s="143">
        <v>0</v>
      </c>
    </row>
    <row r="38" spans="1:1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/>
      <c r="F38" s="144"/>
      <c r="G38" s="145">
        <v>0</v>
      </c>
      <c r="H38" s="143">
        <v>0</v>
      </c>
      <c r="I38" s="143">
        <v>0</v>
      </c>
      <c r="J38" s="143">
        <v>0</v>
      </c>
    </row>
    <row r="39" spans="1:10" ht="15.75" hidden="1" customHeight="1" x14ac:dyDescent="0.2">
      <c r="A39" s="142" t="s">
        <v>106</v>
      </c>
      <c r="B39" s="143">
        <v>0</v>
      </c>
      <c r="C39" s="143">
        <v>0</v>
      </c>
      <c r="D39" s="143">
        <v>0</v>
      </c>
      <c r="E39" s="144"/>
      <c r="F39" s="144"/>
      <c r="G39" s="145">
        <v>0</v>
      </c>
      <c r="H39" s="143">
        <v>0</v>
      </c>
      <c r="I39" s="143">
        <v>0</v>
      </c>
      <c r="J39" s="143">
        <v>0</v>
      </c>
    </row>
    <row r="40" spans="1:10" ht="15.75" customHeight="1" x14ac:dyDescent="0.2">
      <c r="A40" s="146" t="s">
        <v>107</v>
      </c>
      <c r="B40" s="147">
        <v>635.1</v>
      </c>
      <c r="C40" s="147">
        <v>674.9</v>
      </c>
      <c r="D40" s="147">
        <v>6.3</v>
      </c>
      <c r="E40" s="148">
        <v>4713.6128168792311</v>
      </c>
      <c r="F40" s="148">
        <v>3542.6082382575196</v>
      </c>
      <c r="G40" s="147">
        <v>-24.8</v>
      </c>
      <c r="H40" s="147">
        <v>2993.6</v>
      </c>
      <c r="I40" s="147">
        <v>2390.9</v>
      </c>
      <c r="J40" s="147">
        <v>-20.100000000000001</v>
      </c>
    </row>
    <row r="41" spans="1:10" ht="15.75" hidden="1" customHeight="1" x14ac:dyDescent="0.2">
      <c r="A41" s="146" t="s">
        <v>108</v>
      </c>
      <c r="B41" s="147">
        <v>0</v>
      </c>
      <c r="C41" s="147">
        <v>0</v>
      </c>
      <c r="D41" s="147">
        <v>0</v>
      </c>
      <c r="E41" s="148">
        <v>0</v>
      </c>
      <c r="F41" s="148">
        <v>0</v>
      </c>
      <c r="G41" s="147">
        <v>0</v>
      </c>
      <c r="H41" s="147">
        <v>0</v>
      </c>
      <c r="I41" s="147">
        <v>0</v>
      </c>
      <c r="J41" s="147">
        <v>0</v>
      </c>
    </row>
    <row r="42" spans="1:10" ht="15.75" customHeight="1" x14ac:dyDescent="0.2">
      <c r="A42" s="149" t="s">
        <v>58</v>
      </c>
      <c r="B42" s="150">
        <v>635.1</v>
      </c>
      <c r="C42" s="150">
        <v>674.9</v>
      </c>
      <c r="D42" s="150">
        <v>6.3</v>
      </c>
      <c r="E42" s="151">
        <v>4713.6128168792311</v>
      </c>
      <c r="F42" s="151">
        <v>3542.6082382575196</v>
      </c>
      <c r="G42" s="150">
        <v>-24.8</v>
      </c>
      <c r="H42" s="150">
        <v>2993.6</v>
      </c>
      <c r="I42" s="150">
        <v>2390.9</v>
      </c>
      <c r="J42" s="150">
        <v>-20.100000000000001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192" t="s">
        <v>212</v>
      </c>
      <c r="D44" s="231"/>
      <c r="I44" s="194"/>
    </row>
    <row r="45" spans="1:10" ht="21" customHeight="1" x14ac:dyDescent="0.2">
      <c r="D45" s="231"/>
      <c r="E45" s="231"/>
      <c r="F45" s="231"/>
      <c r="G45" s="231"/>
      <c r="H45" s="231"/>
      <c r="I45" s="194"/>
    </row>
    <row r="46" spans="1:10" ht="20.25" customHeight="1" x14ac:dyDescent="0.25">
      <c r="D46" s="310"/>
      <c r="E46" s="126" t="s">
        <v>125</v>
      </c>
    </row>
    <row r="47" spans="1:10" ht="20.25" customHeight="1" x14ac:dyDescent="0.2">
      <c r="F47" s="126" t="s">
        <v>60</v>
      </c>
      <c r="H47" s="131"/>
    </row>
    <row r="51" spans="7:7" ht="20.25" customHeight="1" x14ac:dyDescent="0.2">
      <c r="G51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2" width="11.42578125" style="126" customWidth="1"/>
    <col min="3" max="3" width="12.42578125" style="126" customWidth="1"/>
    <col min="4" max="4" width="9.42578125" style="126" customWidth="1"/>
    <col min="5" max="5" width="12.42578125" style="126" customWidth="1"/>
    <col min="6" max="6" width="11.42578125" style="126" customWidth="1"/>
    <col min="7" max="7" width="9.42578125" style="126" customWidth="1"/>
    <col min="8" max="8" width="12.42578125" style="126" customWidth="1"/>
    <col min="9" max="9" width="13" style="126" customWidth="1"/>
    <col min="10" max="10" width="9.42578125" style="126" customWidth="1"/>
    <col min="11" max="17" width="11.42578125" style="126" customWidth="1"/>
  </cols>
  <sheetData>
    <row r="1" spans="1:10" ht="36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498" t="s">
        <v>61</v>
      </c>
      <c r="B5" s="497" t="s">
        <v>62</v>
      </c>
      <c r="C5" s="497"/>
      <c r="D5" s="497"/>
      <c r="E5" s="498" t="s">
        <v>63</v>
      </c>
      <c r="F5" s="498"/>
      <c r="G5" s="498"/>
      <c r="H5" s="497" t="s">
        <v>64</v>
      </c>
      <c r="I5" s="497"/>
      <c r="J5" s="497"/>
    </row>
    <row r="6" spans="1:10" ht="20.25" customHeight="1" x14ac:dyDescent="0.2">
      <c r="A6" s="498"/>
      <c r="B6" s="303" t="s">
        <v>2</v>
      </c>
      <c r="C6" s="303" t="s">
        <v>5</v>
      </c>
      <c r="D6" s="303" t="s">
        <v>65</v>
      </c>
      <c r="E6" s="303" t="s">
        <v>2</v>
      </c>
      <c r="F6" s="303" t="s">
        <v>5</v>
      </c>
      <c r="G6" s="303" t="s">
        <v>65</v>
      </c>
      <c r="H6" s="303" t="s">
        <v>2</v>
      </c>
      <c r="I6" s="303" t="s">
        <v>5</v>
      </c>
      <c r="J6" s="303" t="s">
        <v>65</v>
      </c>
    </row>
    <row r="7" spans="1:10" ht="20.25" customHeight="1" x14ac:dyDescent="0.2">
      <c r="A7" s="499"/>
      <c r="B7" s="309" t="s">
        <v>66</v>
      </c>
      <c r="C7" s="303" t="s">
        <v>67</v>
      </c>
      <c r="D7" s="303" t="s">
        <v>68</v>
      </c>
      <c r="E7" s="303" t="s">
        <v>69</v>
      </c>
      <c r="F7" s="303" t="s">
        <v>70</v>
      </c>
      <c r="G7" s="303" t="s">
        <v>71</v>
      </c>
      <c r="H7" s="303" t="s">
        <v>72</v>
      </c>
      <c r="I7" s="303" t="s">
        <v>73</v>
      </c>
      <c r="J7" s="303" t="s">
        <v>74</v>
      </c>
    </row>
    <row r="8" spans="1:10" ht="15.75" customHeight="1" x14ac:dyDescent="0.2">
      <c r="A8" s="311" t="s">
        <v>75</v>
      </c>
      <c r="B8" s="180">
        <v>1549.8</v>
      </c>
      <c r="C8" s="180">
        <v>1586.3</v>
      </c>
      <c r="D8" s="180">
        <v>2.4</v>
      </c>
      <c r="E8" s="181">
        <v>4971.8918570138085</v>
      </c>
      <c r="F8" s="181">
        <v>4949.1273403517625</v>
      </c>
      <c r="G8" s="180">
        <v>-0.5</v>
      </c>
      <c r="H8" s="180">
        <v>7705.4</v>
      </c>
      <c r="I8" s="180">
        <v>7850.9</v>
      </c>
      <c r="J8" s="180">
        <v>1.9</v>
      </c>
    </row>
    <row r="9" spans="1:10" ht="15.75" customHeight="1" x14ac:dyDescent="0.2">
      <c r="A9" s="142" t="s">
        <v>76</v>
      </c>
      <c r="B9" s="143">
        <v>20</v>
      </c>
      <c r="C9" s="143">
        <v>16</v>
      </c>
      <c r="D9" s="143">
        <v>-20</v>
      </c>
      <c r="E9" s="143">
        <v>6000</v>
      </c>
      <c r="F9" s="143">
        <v>4500</v>
      </c>
      <c r="G9" s="143">
        <v>-25</v>
      </c>
      <c r="H9" s="143">
        <v>120</v>
      </c>
      <c r="I9" s="143">
        <v>72</v>
      </c>
      <c r="J9" s="143">
        <v>-40</v>
      </c>
    </row>
    <row r="10" spans="1:10" ht="15.75" customHeight="1" x14ac:dyDescent="0.2">
      <c r="A10" s="142" t="s">
        <v>77</v>
      </c>
      <c r="B10" s="143">
        <v>493.3</v>
      </c>
      <c r="C10" s="143">
        <v>467.7</v>
      </c>
      <c r="D10" s="143">
        <v>-5.2</v>
      </c>
      <c r="E10" s="143">
        <v>5273.4486113926614</v>
      </c>
      <c r="F10" s="143">
        <v>5151.4894162924957</v>
      </c>
      <c r="G10" s="143">
        <v>-2.2999999999999998</v>
      </c>
      <c r="H10" s="143">
        <v>2601.4</v>
      </c>
      <c r="I10" s="143">
        <v>2409.4</v>
      </c>
      <c r="J10" s="143">
        <v>-7.4</v>
      </c>
    </row>
    <row r="11" spans="1:10" ht="15.75" customHeight="1" x14ac:dyDescent="0.2">
      <c r="A11" s="142" t="s">
        <v>78</v>
      </c>
      <c r="B11" s="143">
        <v>41</v>
      </c>
      <c r="C11" s="143">
        <v>42.400000000000006</v>
      </c>
      <c r="D11" s="143">
        <v>3.4</v>
      </c>
      <c r="E11" s="143">
        <v>3406.636585365854</v>
      </c>
      <c r="F11" s="143">
        <v>3481.9339622641505</v>
      </c>
      <c r="G11" s="143">
        <v>2.2000000000000002</v>
      </c>
      <c r="H11" s="143">
        <v>139.69999999999999</v>
      </c>
      <c r="I11" s="143">
        <v>147.6</v>
      </c>
      <c r="J11" s="143">
        <v>5.7</v>
      </c>
    </row>
    <row r="12" spans="1:10" ht="15.75" customHeight="1" x14ac:dyDescent="0.2">
      <c r="A12" s="142" t="s">
        <v>79</v>
      </c>
      <c r="B12" s="143">
        <v>8.3000000000000007</v>
      </c>
      <c r="C12" s="143">
        <v>8</v>
      </c>
      <c r="D12" s="143">
        <v>-3.6</v>
      </c>
      <c r="E12" s="143">
        <v>3005</v>
      </c>
      <c r="F12" s="143">
        <v>2571</v>
      </c>
      <c r="G12" s="143">
        <v>-14.4</v>
      </c>
      <c r="H12" s="143">
        <v>24.9</v>
      </c>
      <c r="I12" s="143">
        <v>20.6</v>
      </c>
      <c r="J12" s="143">
        <v>-17.3</v>
      </c>
    </row>
    <row r="13" spans="1:10" ht="15.75" customHeight="1" x14ac:dyDescent="0.2">
      <c r="A13" s="142" t="s">
        <v>80</v>
      </c>
      <c r="B13" s="143">
        <v>2</v>
      </c>
      <c r="C13" s="143">
        <v>2</v>
      </c>
      <c r="D13" s="143">
        <v>0</v>
      </c>
      <c r="E13" s="143">
        <v>969</v>
      </c>
      <c r="F13" s="143">
        <v>977</v>
      </c>
      <c r="G13" s="143">
        <v>0.8</v>
      </c>
      <c r="H13" s="143">
        <v>1.9</v>
      </c>
      <c r="I13" s="143">
        <v>2</v>
      </c>
      <c r="J13" s="143">
        <v>5.3</v>
      </c>
    </row>
    <row r="14" spans="1:10" ht="15.75" customHeight="1" x14ac:dyDescent="0.2">
      <c r="A14" s="142" t="s">
        <v>81</v>
      </c>
      <c r="B14" s="143">
        <v>512.20000000000005</v>
      </c>
      <c r="C14" s="143">
        <v>551.9</v>
      </c>
      <c r="D14" s="145">
        <v>7.8</v>
      </c>
      <c r="E14" s="144">
        <v>4206.4482623975</v>
      </c>
      <c r="F14" s="144">
        <v>4487.5138612067403</v>
      </c>
      <c r="G14" s="145">
        <v>6.7</v>
      </c>
      <c r="H14" s="143">
        <v>2154.5</v>
      </c>
      <c r="I14" s="143">
        <v>2476.6999999999998</v>
      </c>
      <c r="J14" s="143">
        <v>15</v>
      </c>
    </row>
    <row r="15" spans="1:10" ht="15.75" customHeight="1" x14ac:dyDescent="0.2">
      <c r="A15" s="142" t="s">
        <v>82</v>
      </c>
      <c r="B15" s="143">
        <v>473</v>
      </c>
      <c r="C15" s="143">
        <v>498.3</v>
      </c>
      <c r="D15" s="145">
        <v>5.3</v>
      </c>
      <c r="E15" s="144">
        <v>5629.9183932346732</v>
      </c>
      <c r="F15" s="144">
        <v>5463.8454746136867</v>
      </c>
      <c r="G15" s="145">
        <v>-2.9</v>
      </c>
      <c r="H15" s="143">
        <v>2663</v>
      </c>
      <c r="I15" s="143">
        <v>2722.6</v>
      </c>
      <c r="J15" s="143">
        <v>2.2000000000000002</v>
      </c>
    </row>
    <row r="16" spans="1:10" ht="15.75" customHeight="1" x14ac:dyDescent="0.2">
      <c r="A16" s="146" t="s">
        <v>83</v>
      </c>
      <c r="B16" s="180">
        <v>2984</v>
      </c>
      <c r="C16" s="180">
        <v>2979.7999999999997</v>
      </c>
      <c r="D16" s="180">
        <v>-0.1</v>
      </c>
      <c r="E16" s="181">
        <v>3395.8073391420917</v>
      </c>
      <c r="F16" s="181">
        <v>3579.3392509564401</v>
      </c>
      <c r="G16" s="180">
        <v>5.4</v>
      </c>
      <c r="H16" s="180">
        <v>10133.1</v>
      </c>
      <c r="I16" s="180">
        <v>10665.6</v>
      </c>
      <c r="J16" s="180">
        <v>5.3</v>
      </c>
    </row>
    <row r="17" spans="1:10" ht="15.75" customHeight="1" x14ac:dyDescent="0.2">
      <c r="A17" s="142" t="s">
        <v>84</v>
      </c>
      <c r="B17" s="143">
        <v>597.1</v>
      </c>
      <c r="C17" s="143">
        <v>552.20000000000005</v>
      </c>
      <c r="D17" s="145">
        <v>-7.5</v>
      </c>
      <c r="E17" s="144">
        <v>5714.8832691341477</v>
      </c>
      <c r="F17" s="144">
        <v>5429.4176023179998</v>
      </c>
      <c r="G17" s="145">
        <v>-5</v>
      </c>
      <c r="H17" s="143">
        <v>3412.4</v>
      </c>
      <c r="I17" s="143">
        <v>2998.1</v>
      </c>
      <c r="J17" s="143">
        <v>-12.1</v>
      </c>
    </row>
    <row r="18" spans="1:10" ht="15.75" customHeight="1" x14ac:dyDescent="0.2">
      <c r="A18" s="142" t="s">
        <v>85</v>
      </c>
      <c r="B18" s="143">
        <v>468.90000000000003</v>
      </c>
      <c r="C18" s="143">
        <v>485.3</v>
      </c>
      <c r="D18" s="145">
        <v>3.5</v>
      </c>
      <c r="E18" s="144">
        <v>4095.9443378119004</v>
      </c>
      <c r="F18" s="144">
        <v>5129.6727797238827</v>
      </c>
      <c r="G18" s="145">
        <v>25.2</v>
      </c>
      <c r="H18" s="143">
        <v>1920.6</v>
      </c>
      <c r="I18" s="143">
        <v>2489.4</v>
      </c>
      <c r="J18" s="143">
        <v>29.6</v>
      </c>
    </row>
    <row r="19" spans="1:10" ht="15.75" customHeight="1" x14ac:dyDescent="0.2">
      <c r="A19" s="142" t="s">
        <v>86</v>
      </c>
      <c r="B19" s="143">
        <v>591</v>
      </c>
      <c r="C19" s="143">
        <v>583.9</v>
      </c>
      <c r="D19" s="145">
        <v>-1.2</v>
      </c>
      <c r="E19" s="144">
        <v>466</v>
      </c>
      <c r="F19" s="144">
        <v>1254</v>
      </c>
      <c r="G19" s="145">
        <v>169.1</v>
      </c>
      <c r="H19" s="143">
        <v>275.39999999999998</v>
      </c>
      <c r="I19" s="143">
        <v>732.2</v>
      </c>
      <c r="J19" s="143">
        <v>165.9</v>
      </c>
    </row>
    <row r="20" spans="1:10" ht="15.75" customHeight="1" x14ac:dyDescent="0.2">
      <c r="A20" s="142" t="s">
        <v>87</v>
      </c>
      <c r="B20" s="143">
        <v>64.2</v>
      </c>
      <c r="C20" s="143">
        <v>61.7</v>
      </c>
      <c r="D20" s="145">
        <v>-3.9</v>
      </c>
      <c r="E20" s="144">
        <v>321</v>
      </c>
      <c r="F20" s="144">
        <v>516</v>
      </c>
      <c r="G20" s="145">
        <v>60.7</v>
      </c>
      <c r="H20" s="143">
        <v>20.6</v>
      </c>
      <c r="I20" s="143">
        <v>31.8</v>
      </c>
      <c r="J20" s="143">
        <v>54.4</v>
      </c>
    </row>
    <row r="21" spans="1:10" ht="15.75" customHeight="1" x14ac:dyDescent="0.2">
      <c r="A21" s="142" t="s">
        <v>88</v>
      </c>
      <c r="B21" s="143">
        <v>117.2</v>
      </c>
      <c r="C21" s="143">
        <v>99.6</v>
      </c>
      <c r="D21" s="145">
        <v>-15</v>
      </c>
      <c r="E21" s="144">
        <v>449</v>
      </c>
      <c r="F21" s="144">
        <v>543</v>
      </c>
      <c r="G21" s="145">
        <v>20.9</v>
      </c>
      <c r="H21" s="143">
        <v>52.6</v>
      </c>
      <c r="I21" s="143">
        <v>54.1</v>
      </c>
      <c r="J21" s="143">
        <v>2.9</v>
      </c>
    </row>
    <row r="22" spans="1:10" ht="15.75" customHeight="1" x14ac:dyDescent="0.2">
      <c r="A22" s="142" t="s">
        <v>89</v>
      </c>
      <c r="B22" s="143">
        <v>196.2</v>
      </c>
      <c r="C22" s="143">
        <v>195.39999999999998</v>
      </c>
      <c r="D22" s="145">
        <v>-0.4</v>
      </c>
      <c r="E22" s="144">
        <v>1150.5005096839961</v>
      </c>
      <c r="F22" s="144">
        <v>1148.6653019447288</v>
      </c>
      <c r="G22" s="145">
        <v>-0.2</v>
      </c>
      <c r="H22" s="143">
        <v>225.7</v>
      </c>
      <c r="I22" s="143">
        <v>224.4</v>
      </c>
      <c r="J22" s="143">
        <v>-0.6</v>
      </c>
    </row>
    <row r="23" spans="1:10" ht="15.75" customHeight="1" x14ac:dyDescent="0.2">
      <c r="A23" s="142" t="s">
        <v>90</v>
      </c>
      <c r="B23" s="143">
        <v>31.2</v>
      </c>
      <c r="C23" s="143">
        <v>37</v>
      </c>
      <c r="D23" s="145">
        <v>18.600000000000001</v>
      </c>
      <c r="E23" s="144">
        <v>5230</v>
      </c>
      <c r="F23" s="144">
        <v>2203</v>
      </c>
      <c r="G23" s="145">
        <v>-57.9</v>
      </c>
      <c r="H23" s="143">
        <v>163.19999999999999</v>
      </c>
      <c r="I23" s="143">
        <v>81.5</v>
      </c>
      <c r="J23" s="143">
        <v>-50.1</v>
      </c>
    </row>
    <row r="24" spans="1:10" ht="15.75" customHeight="1" x14ac:dyDescent="0.2">
      <c r="A24" s="142" t="s">
        <v>91</v>
      </c>
      <c r="B24" s="143">
        <v>186.1</v>
      </c>
      <c r="C24" s="143">
        <v>186.1</v>
      </c>
      <c r="D24" s="145">
        <v>0</v>
      </c>
      <c r="E24" s="144">
        <v>6769</v>
      </c>
      <c r="F24" s="144">
        <v>4399</v>
      </c>
      <c r="G24" s="145">
        <v>-35</v>
      </c>
      <c r="H24" s="143">
        <v>1259.7</v>
      </c>
      <c r="I24" s="143">
        <v>818.7</v>
      </c>
      <c r="J24" s="143">
        <v>-35</v>
      </c>
    </row>
    <row r="25" spans="1:10" ht="15.75" customHeight="1" x14ac:dyDescent="0.2">
      <c r="A25" s="142" t="s">
        <v>92</v>
      </c>
      <c r="B25" s="249">
        <v>732.1</v>
      </c>
      <c r="C25" s="249">
        <v>778.6</v>
      </c>
      <c r="D25" s="312">
        <v>6.4</v>
      </c>
      <c r="E25" s="313">
        <v>3828.5642671766154</v>
      </c>
      <c r="F25" s="313">
        <v>4155.4274338556379</v>
      </c>
      <c r="G25" s="312">
        <v>8.5</v>
      </c>
      <c r="H25" s="249">
        <v>2802.9</v>
      </c>
      <c r="I25" s="249">
        <v>3235.4</v>
      </c>
      <c r="J25" s="249">
        <v>15.4</v>
      </c>
    </row>
    <row r="26" spans="1:10" ht="15.75" customHeight="1" x14ac:dyDescent="0.2">
      <c r="A26" s="146" t="s">
        <v>93</v>
      </c>
      <c r="B26" s="180">
        <v>11394.300000000001</v>
      </c>
      <c r="C26" s="180">
        <v>11717.5</v>
      </c>
      <c r="D26" s="180">
        <v>2.8</v>
      </c>
      <c r="E26" s="181">
        <v>7329.9696427160952</v>
      </c>
      <c r="F26" s="181">
        <v>7070.4018263281423</v>
      </c>
      <c r="G26" s="180">
        <v>-3.5</v>
      </c>
      <c r="H26" s="180">
        <v>83519.899999999994</v>
      </c>
      <c r="I26" s="180">
        <v>82847.5</v>
      </c>
      <c r="J26" s="180">
        <v>-0.8</v>
      </c>
    </row>
    <row r="27" spans="1:10" ht="15.75" customHeight="1" x14ac:dyDescent="0.2">
      <c r="A27" s="142" t="s">
        <v>94</v>
      </c>
      <c r="B27" s="143">
        <v>7287.4</v>
      </c>
      <c r="C27" s="143">
        <v>7619.3</v>
      </c>
      <c r="D27" s="145">
        <v>4.5999999999999996</v>
      </c>
      <c r="E27" s="144">
        <v>7620.851208935972</v>
      </c>
      <c r="F27" s="144">
        <v>7687.98442114105</v>
      </c>
      <c r="G27" s="145">
        <v>0.9</v>
      </c>
      <c r="H27" s="143">
        <v>55536.2</v>
      </c>
      <c r="I27" s="143">
        <v>58577.1</v>
      </c>
      <c r="J27" s="143">
        <v>5.5</v>
      </c>
    </row>
    <row r="28" spans="1:10" ht="15.75" customHeight="1" x14ac:dyDescent="0.2">
      <c r="A28" s="142" t="s">
        <v>95</v>
      </c>
      <c r="B28" s="143">
        <v>2081.6</v>
      </c>
      <c r="C28" s="143">
        <v>2140.8000000000002</v>
      </c>
      <c r="D28" s="145">
        <v>2.8</v>
      </c>
      <c r="E28" s="144">
        <v>6390.2357801691014</v>
      </c>
      <c r="F28" s="144">
        <v>6312.1669002242152</v>
      </c>
      <c r="G28" s="145">
        <v>-1.2</v>
      </c>
      <c r="H28" s="143">
        <v>13301.9</v>
      </c>
      <c r="I28" s="143">
        <v>13513.1</v>
      </c>
      <c r="J28" s="143">
        <v>1.6</v>
      </c>
    </row>
    <row r="29" spans="1:10" ht="15.75" customHeight="1" x14ac:dyDescent="0.2">
      <c r="A29" s="142" t="s">
        <v>96</v>
      </c>
      <c r="B29" s="143">
        <v>1969.1</v>
      </c>
      <c r="C29" s="143">
        <v>1899.9</v>
      </c>
      <c r="D29" s="145">
        <v>-3.5</v>
      </c>
      <c r="E29" s="144">
        <v>7245.0315880351427</v>
      </c>
      <c r="F29" s="144">
        <v>5449.0843202273809</v>
      </c>
      <c r="G29" s="145">
        <v>-24.8</v>
      </c>
      <c r="H29" s="143">
        <v>14266.2</v>
      </c>
      <c r="I29" s="143">
        <v>10352.700000000001</v>
      </c>
      <c r="J29" s="143">
        <v>-27.4</v>
      </c>
    </row>
    <row r="30" spans="1:10" ht="15.75" customHeight="1" x14ac:dyDescent="0.2">
      <c r="A30" s="142" t="s">
        <v>97</v>
      </c>
      <c r="B30" s="143">
        <v>56.2</v>
      </c>
      <c r="C30" s="143">
        <v>57.5</v>
      </c>
      <c r="D30" s="145">
        <v>2.2999999999999998</v>
      </c>
      <c r="E30" s="144">
        <v>7394.5818505338075</v>
      </c>
      <c r="F30" s="144">
        <v>7036.0260869565218</v>
      </c>
      <c r="G30" s="145">
        <v>-4.8</v>
      </c>
      <c r="H30" s="143">
        <v>415.6</v>
      </c>
      <c r="I30" s="143">
        <v>404.6</v>
      </c>
      <c r="J30" s="143">
        <v>-2.6</v>
      </c>
    </row>
    <row r="31" spans="1:10" ht="15.75" customHeight="1" x14ac:dyDescent="0.2">
      <c r="A31" s="146" t="s">
        <v>98</v>
      </c>
      <c r="B31" s="180">
        <v>1846.6</v>
      </c>
      <c r="C31" s="180">
        <v>1902.5000000000002</v>
      </c>
      <c r="D31" s="180">
        <v>3</v>
      </c>
      <c r="E31" s="181">
        <v>5989.2762374092927</v>
      </c>
      <c r="F31" s="181">
        <v>6321.0147174770036</v>
      </c>
      <c r="G31" s="180">
        <v>5.5</v>
      </c>
      <c r="H31" s="180">
        <v>11059.8</v>
      </c>
      <c r="I31" s="180">
        <v>12025.8</v>
      </c>
      <c r="J31" s="180">
        <v>8.6999999999999993</v>
      </c>
    </row>
    <row r="32" spans="1:10" ht="15.75" customHeight="1" x14ac:dyDescent="0.2">
      <c r="A32" s="142" t="s">
        <v>99</v>
      </c>
      <c r="B32" s="143">
        <v>1083.7</v>
      </c>
      <c r="C32" s="143">
        <v>1111.9000000000001</v>
      </c>
      <c r="D32" s="145">
        <v>2.6</v>
      </c>
      <c r="E32" s="144">
        <v>6082.2116821998707</v>
      </c>
      <c r="F32" s="144">
        <v>6506.8688731000984</v>
      </c>
      <c r="G32" s="145">
        <v>7</v>
      </c>
      <c r="H32" s="143">
        <v>6591.3</v>
      </c>
      <c r="I32" s="143">
        <v>7235</v>
      </c>
      <c r="J32" s="143">
        <v>9.8000000000000007</v>
      </c>
    </row>
    <row r="33" spans="1:10" ht="15.75" customHeight="1" x14ac:dyDescent="0.2">
      <c r="A33" s="142" t="s">
        <v>100</v>
      </c>
      <c r="B33" s="143">
        <v>16.600000000000001</v>
      </c>
      <c r="C33" s="143">
        <v>16.5</v>
      </c>
      <c r="D33" s="145">
        <v>-0.6</v>
      </c>
      <c r="E33" s="144">
        <v>3730.7349397590356</v>
      </c>
      <c r="F33" s="144">
        <v>3512.5454545454545</v>
      </c>
      <c r="G33" s="145">
        <v>-5.8</v>
      </c>
      <c r="H33" s="143">
        <v>61.9</v>
      </c>
      <c r="I33" s="143">
        <v>58</v>
      </c>
      <c r="J33" s="143">
        <v>-6.3</v>
      </c>
    </row>
    <row r="34" spans="1:10" ht="15.75" customHeight="1" x14ac:dyDescent="0.2">
      <c r="A34" s="142" t="s">
        <v>101</v>
      </c>
      <c r="B34" s="143">
        <v>1.5</v>
      </c>
      <c r="C34" s="143">
        <v>1.4</v>
      </c>
      <c r="D34" s="145">
        <v>-6.7</v>
      </c>
      <c r="E34" s="144">
        <v>4655</v>
      </c>
      <c r="F34" s="144">
        <v>4740</v>
      </c>
      <c r="G34" s="145">
        <v>1.8</v>
      </c>
      <c r="H34" s="143">
        <v>7</v>
      </c>
      <c r="I34" s="143">
        <v>6.6</v>
      </c>
      <c r="J34" s="143">
        <v>-5.7</v>
      </c>
    </row>
    <row r="35" spans="1:10" ht="15.75" customHeight="1" x14ac:dyDescent="0.2">
      <c r="A35" s="142" t="s">
        <v>102</v>
      </c>
      <c r="B35" s="143">
        <v>744.8</v>
      </c>
      <c r="C35" s="143">
        <v>772.7</v>
      </c>
      <c r="D35" s="145">
        <v>3.7</v>
      </c>
      <c r="E35" s="144">
        <v>5907.0784103114938</v>
      </c>
      <c r="F35" s="144">
        <v>6116.409990940856</v>
      </c>
      <c r="G35" s="145">
        <v>3.5</v>
      </c>
      <c r="H35" s="143">
        <v>4399.6000000000004</v>
      </c>
      <c r="I35" s="143">
        <v>4726.2</v>
      </c>
      <c r="J35" s="143">
        <v>7.4</v>
      </c>
    </row>
    <row r="36" spans="1:10" ht="15.75" customHeight="1" x14ac:dyDescent="0.2">
      <c r="A36" s="146" t="s">
        <v>103</v>
      </c>
      <c r="B36" s="180">
        <v>4063.3</v>
      </c>
      <c r="C36" s="180">
        <v>4414.4000000000005</v>
      </c>
      <c r="D36" s="180">
        <v>8.6</v>
      </c>
      <c r="E36" s="181">
        <v>7072.9210986144262</v>
      </c>
      <c r="F36" s="181">
        <v>6936.3544762595129</v>
      </c>
      <c r="G36" s="180">
        <v>-1.9</v>
      </c>
      <c r="H36" s="180">
        <v>28739.4</v>
      </c>
      <c r="I36" s="180">
        <v>30619.800000000003</v>
      </c>
      <c r="J36" s="180">
        <v>6.5</v>
      </c>
    </row>
    <row r="37" spans="1:10" ht="15.75" customHeight="1" x14ac:dyDescent="0.2">
      <c r="A37" s="142" t="s">
        <v>104</v>
      </c>
      <c r="B37" s="143">
        <v>3059.7000000000003</v>
      </c>
      <c r="C37" s="143">
        <v>3287.3</v>
      </c>
      <c r="D37" s="145">
        <v>7.4</v>
      </c>
      <c r="E37" s="144">
        <v>6601.0639278360622</v>
      </c>
      <c r="F37" s="144">
        <v>6519.313266206309</v>
      </c>
      <c r="G37" s="145">
        <v>-1.2</v>
      </c>
      <c r="H37" s="143">
        <v>20197.3</v>
      </c>
      <c r="I37" s="143">
        <v>21430.9</v>
      </c>
      <c r="J37" s="143">
        <v>6.1</v>
      </c>
    </row>
    <row r="38" spans="1:10" ht="15.75" customHeight="1" x14ac:dyDescent="0.2">
      <c r="A38" s="142" t="s">
        <v>105</v>
      </c>
      <c r="B38" s="143">
        <v>288.10000000000002</v>
      </c>
      <c r="C38" s="143">
        <v>310</v>
      </c>
      <c r="D38" s="145">
        <v>7.6</v>
      </c>
      <c r="E38" s="144">
        <v>10800</v>
      </c>
      <c r="F38" s="144">
        <v>10250</v>
      </c>
      <c r="G38" s="145">
        <v>-5.0999999999999996</v>
      </c>
      <c r="H38" s="143">
        <v>3111.5</v>
      </c>
      <c r="I38" s="143">
        <v>3177.5</v>
      </c>
      <c r="J38" s="143">
        <v>2.1</v>
      </c>
    </row>
    <row r="39" spans="1:10" ht="15.75" customHeight="1" x14ac:dyDescent="0.2">
      <c r="A39" s="142" t="s">
        <v>106</v>
      </c>
      <c r="B39" s="143">
        <v>715.5</v>
      </c>
      <c r="C39" s="143">
        <v>817.1</v>
      </c>
      <c r="D39" s="145">
        <v>14.2</v>
      </c>
      <c r="E39" s="144">
        <v>7590</v>
      </c>
      <c r="F39" s="144">
        <v>7357</v>
      </c>
      <c r="G39" s="145">
        <v>-3.1</v>
      </c>
      <c r="H39" s="143">
        <v>5430.6</v>
      </c>
      <c r="I39" s="143">
        <v>6011.4</v>
      </c>
      <c r="J39" s="143">
        <v>10.7</v>
      </c>
    </row>
    <row r="40" spans="1:10" ht="15.75" customHeight="1" x14ac:dyDescent="0.2">
      <c r="A40" s="314" t="s">
        <v>107</v>
      </c>
      <c r="B40" s="180">
        <v>4533.8</v>
      </c>
      <c r="C40" s="180">
        <v>4566.0999999999995</v>
      </c>
      <c r="D40" s="180">
        <v>0.7</v>
      </c>
      <c r="E40" s="181">
        <v>3934.5641845692357</v>
      </c>
      <c r="F40" s="181">
        <v>4055.2146908740506</v>
      </c>
      <c r="G40" s="180">
        <v>3.1</v>
      </c>
      <c r="H40" s="180">
        <v>17838.5</v>
      </c>
      <c r="I40" s="180">
        <v>18516.5</v>
      </c>
      <c r="J40" s="180">
        <v>3.8</v>
      </c>
    </row>
    <row r="41" spans="1:10" ht="15.75" customHeight="1" x14ac:dyDescent="0.2">
      <c r="A41" s="314" t="s">
        <v>108</v>
      </c>
      <c r="B41" s="180">
        <v>17304.2</v>
      </c>
      <c r="C41" s="180">
        <v>18034.400000000001</v>
      </c>
      <c r="D41" s="180">
        <v>4.2</v>
      </c>
      <c r="E41" s="181">
        <v>7126.5398515967227</v>
      </c>
      <c r="F41" s="181">
        <v>6958.5351938517497</v>
      </c>
      <c r="G41" s="180">
        <v>-2.4</v>
      </c>
      <c r="H41" s="180">
        <v>123319.1</v>
      </c>
      <c r="I41" s="180">
        <v>125493.1</v>
      </c>
      <c r="J41" s="180">
        <v>1.8</v>
      </c>
    </row>
    <row r="42" spans="1:10" ht="15.75" customHeight="1" x14ac:dyDescent="0.2">
      <c r="A42" s="149" t="s">
        <v>58</v>
      </c>
      <c r="B42" s="315">
        <v>21838</v>
      </c>
      <c r="C42" s="315">
        <v>22600.5</v>
      </c>
      <c r="D42" s="315">
        <v>3.5</v>
      </c>
      <c r="E42" s="316">
        <v>6463.8519095155243</v>
      </c>
      <c r="F42" s="316">
        <v>6371.9618105794125</v>
      </c>
      <c r="G42" s="315">
        <v>-1.4</v>
      </c>
      <c r="H42" s="315">
        <v>141157.6</v>
      </c>
      <c r="I42" s="315">
        <v>144009.60000000001</v>
      </c>
      <c r="J42" s="315">
        <v>2</v>
      </c>
    </row>
    <row r="43" spans="1:1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10" ht="15.75" customHeight="1" x14ac:dyDescent="0.2">
      <c r="A44" s="230" t="s">
        <v>212</v>
      </c>
      <c r="B44" s="317"/>
      <c r="C44" s="317"/>
      <c r="D44" s="317"/>
      <c r="E44" s="317"/>
      <c r="F44" s="317"/>
      <c r="G44" s="317"/>
      <c r="H44" s="317"/>
      <c r="I44" s="317"/>
      <c r="J44" s="317"/>
    </row>
    <row r="52" spans="7:7" ht="20.25" customHeight="1" x14ac:dyDescent="0.2">
      <c r="G52" s="126" t="s">
        <v>60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22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22" width="11.42578125" style="126" customWidth="1"/>
  </cols>
  <sheetData>
    <row r="1" spans="1:22" ht="33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22" ht="15.75" customHeight="1" x14ac:dyDescent="0.2"/>
    <row r="3" spans="1:22" ht="15.75" customHeight="1" x14ac:dyDescent="0.2"/>
    <row r="4" spans="1:22" ht="15.75" customHeight="1" x14ac:dyDescent="0.2"/>
    <row r="5" spans="1:22" ht="20.25" customHeight="1" x14ac:dyDescent="0.2">
      <c r="A5" s="500" t="s">
        <v>61</v>
      </c>
      <c r="B5" s="502" t="s">
        <v>62</v>
      </c>
      <c r="C5" s="502"/>
      <c r="D5" s="502"/>
      <c r="E5" s="500" t="s">
        <v>63</v>
      </c>
      <c r="F5" s="500"/>
      <c r="G5" s="500"/>
      <c r="H5" s="502" t="s">
        <v>64</v>
      </c>
      <c r="I5" s="502"/>
      <c r="J5" s="502"/>
    </row>
    <row r="6" spans="1:22" ht="20.25" customHeight="1" x14ac:dyDescent="0.2">
      <c r="A6" s="500"/>
      <c r="B6" s="318" t="s">
        <v>2</v>
      </c>
      <c r="C6" s="319" t="s">
        <v>5</v>
      </c>
      <c r="D6" s="318" t="s">
        <v>65</v>
      </c>
      <c r="E6" s="318" t="s">
        <v>2</v>
      </c>
      <c r="F6" s="318" t="s">
        <v>5</v>
      </c>
      <c r="G6" s="318" t="s">
        <v>65</v>
      </c>
      <c r="H6" s="318" t="s">
        <v>2</v>
      </c>
      <c r="I6" s="318" t="s">
        <v>5</v>
      </c>
      <c r="J6" s="318" t="s">
        <v>65</v>
      </c>
    </row>
    <row r="7" spans="1:22" ht="20.25" customHeight="1" x14ac:dyDescent="0.2">
      <c r="A7" s="501"/>
      <c r="B7" s="320" t="s">
        <v>66</v>
      </c>
      <c r="C7" s="321" t="s">
        <v>67</v>
      </c>
      <c r="D7" s="322" t="s">
        <v>68</v>
      </c>
      <c r="E7" s="322" t="s">
        <v>69</v>
      </c>
      <c r="F7" s="321" t="s">
        <v>70</v>
      </c>
      <c r="G7" s="323" t="s">
        <v>71</v>
      </c>
      <c r="H7" s="322" t="s">
        <v>72</v>
      </c>
      <c r="I7" s="321" t="s">
        <v>73</v>
      </c>
      <c r="J7" s="322" t="s">
        <v>74</v>
      </c>
    </row>
    <row r="8" spans="1:22" ht="15.75" customHeight="1" x14ac:dyDescent="0.2">
      <c r="A8" s="139" t="s">
        <v>75</v>
      </c>
      <c r="B8" s="140">
        <v>3697.5</v>
      </c>
      <c r="C8" s="140">
        <v>3993.9</v>
      </c>
      <c r="D8" s="140">
        <v>8</v>
      </c>
      <c r="E8" s="141">
        <v>3541.3014469235968</v>
      </c>
      <c r="F8" s="141">
        <v>3715.3083953028372</v>
      </c>
      <c r="G8" s="140">
        <v>4.9000000000000004</v>
      </c>
      <c r="H8" s="140">
        <v>13094.099999999999</v>
      </c>
      <c r="I8" s="140">
        <v>14838.5</v>
      </c>
      <c r="J8" s="140">
        <v>13.3</v>
      </c>
    </row>
    <row r="9" spans="1:22" ht="15.75" customHeight="1" x14ac:dyDescent="0.2">
      <c r="A9" s="86" t="s">
        <v>76</v>
      </c>
      <c r="B9" s="87">
        <v>135.9</v>
      </c>
      <c r="C9" s="87">
        <v>150</v>
      </c>
      <c r="D9" s="87">
        <v>10.4</v>
      </c>
      <c r="E9" s="88">
        <v>3450</v>
      </c>
      <c r="F9" s="88">
        <v>2958</v>
      </c>
      <c r="G9" s="87">
        <v>-14.3</v>
      </c>
      <c r="H9" s="87">
        <v>468.9</v>
      </c>
      <c r="I9" s="87">
        <v>443.7</v>
      </c>
      <c r="J9" s="87">
        <v>-5.4</v>
      </c>
      <c r="U9"/>
      <c r="V9"/>
    </row>
    <row r="10" spans="1:22" ht="15.75" customHeight="1" x14ac:dyDescent="0.2">
      <c r="A10" s="86" t="s">
        <v>77</v>
      </c>
      <c r="B10" s="87">
        <v>694.7</v>
      </c>
      <c r="C10" s="87">
        <v>720.4</v>
      </c>
      <c r="D10" s="87">
        <v>3.7</v>
      </c>
      <c r="E10" s="88">
        <v>3799</v>
      </c>
      <c r="F10" s="88">
        <v>3927</v>
      </c>
      <c r="G10" s="87">
        <v>3.4</v>
      </c>
      <c r="H10" s="87">
        <v>2639.2</v>
      </c>
      <c r="I10" s="87">
        <v>2829</v>
      </c>
      <c r="J10" s="87">
        <v>7.2</v>
      </c>
      <c r="U10"/>
      <c r="V10"/>
    </row>
    <row r="11" spans="1:22" ht="15.75" customHeight="1" x14ac:dyDescent="0.2">
      <c r="A11" s="86" t="s">
        <v>78</v>
      </c>
      <c r="B11" s="87">
        <v>18.600000000000001</v>
      </c>
      <c r="C11" s="87">
        <v>22</v>
      </c>
      <c r="D11" s="87">
        <v>18.3</v>
      </c>
      <c r="E11" s="88">
        <v>3459</v>
      </c>
      <c r="F11" s="88">
        <v>3896</v>
      </c>
      <c r="G11" s="87">
        <v>12.6</v>
      </c>
      <c r="H11" s="87">
        <v>64.3</v>
      </c>
      <c r="I11" s="87">
        <v>85.7</v>
      </c>
      <c r="J11" s="87">
        <v>33.299999999999997</v>
      </c>
      <c r="U11"/>
      <c r="V11"/>
    </row>
    <row r="12" spans="1:22" ht="15.75" customHeight="1" x14ac:dyDescent="0.2">
      <c r="A12" s="86" t="s">
        <v>79</v>
      </c>
      <c r="B12" s="87">
        <v>13.5</v>
      </c>
      <c r="C12" s="87">
        <v>18.2</v>
      </c>
      <c r="D12" s="87">
        <v>34.799999999999997</v>
      </c>
      <c r="E12" s="88">
        <v>3330</v>
      </c>
      <c r="F12" s="88">
        <v>3233</v>
      </c>
      <c r="G12" s="87">
        <v>-2.9</v>
      </c>
      <c r="H12" s="87">
        <v>45</v>
      </c>
      <c r="I12" s="87">
        <v>58.8</v>
      </c>
      <c r="J12" s="87">
        <v>30.7</v>
      </c>
      <c r="U12"/>
      <c r="V12"/>
    </row>
    <row r="13" spans="1:22" ht="15.75" customHeight="1" x14ac:dyDescent="0.2">
      <c r="A13" s="86" t="s">
        <v>80</v>
      </c>
      <c r="B13" s="87">
        <v>10</v>
      </c>
      <c r="C13" s="87">
        <v>12</v>
      </c>
      <c r="D13" s="87">
        <v>20</v>
      </c>
      <c r="E13" s="88">
        <v>2618</v>
      </c>
      <c r="F13" s="88">
        <v>2650</v>
      </c>
      <c r="G13" s="87">
        <v>1.2</v>
      </c>
      <c r="H13" s="87">
        <v>26.2</v>
      </c>
      <c r="I13" s="87">
        <v>31.8</v>
      </c>
      <c r="J13" s="87">
        <v>21.4</v>
      </c>
      <c r="U13"/>
      <c r="V13"/>
    </row>
    <row r="14" spans="1:22" ht="15.75" customHeight="1" x14ac:dyDescent="0.2">
      <c r="A14" s="86" t="s">
        <v>81</v>
      </c>
      <c r="B14" s="87">
        <v>1260.3</v>
      </c>
      <c r="C14" s="87">
        <v>1425.4</v>
      </c>
      <c r="D14" s="87">
        <v>13.1</v>
      </c>
      <c r="E14" s="88">
        <v>3568</v>
      </c>
      <c r="F14" s="88">
        <v>3785</v>
      </c>
      <c r="G14" s="87">
        <v>6.1</v>
      </c>
      <c r="H14" s="87">
        <v>4496.8</v>
      </c>
      <c r="I14" s="87">
        <v>5395.1</v>
      </c>
      <c r="J14" s="87">
        <v>20</v>
      </c>
      <c r="U14"/>
      <c r="V14"/>
    </row>
    <row r="15" spans="1:22" ht="15.75" customHeight="1" x14ac:dyDescent="0.2">
      <c r="A15" s="86" t="s">
        <v>82</v>
      </c>
      <c r="B15" s="87">
        <v>1564.5</v>
      </c>
      <c r="C15" s="87">
        <v>1645.9</v>
      </c>
      <c r="D15" s="87">
        <v>5.2</v>
      </c>
      <c r="E15" s="88">
        <v>3422</v>
      </c>
      <c r="F15" s="88">
        <v>3642</v>
      </c>
      <c r="G15" s="87">
        <v>6.4</v>
      </c>
      <c r="H15" s="87">
        <v>5353.7</v>
      </c>
      <c r="I15" s="87">
        <v>5994.4</v>
      </c>
      <c r="J15" s="87">
        <v>12</v>
      </c>
      <c r="U15"/>
      <c r="V15"/>
    </row>
    <row r="16" spans="1:22" ht="15.75" customHeight="1" x14ac:dyDescent="0.2">
      <c r="A16" s="146" t="s">
        <v>83</v>
      </c>
      <c r="B16" s="147">
        <v>4679.1000000000004</v>
      </c>
      <c r="C16" s="147">
        <v>4891</v>
      </c>
      <c r="D16" s="147">
        <v>4.5</v>
      </c>
      <c r="E16" s="148">
        <v>3743.4852001453264</v>
      </c>
      <c r="F16" s="148">
        <v>3967.1706808423637</v>
      </c>
      <c r="G16" s="147">
        <v>6</v>
      </c>
      <c r="H16" s="147">
        <v>17516.100000000002</v>
      </c>
      <c r="I16" s="147">
        <v>19403.400000000001</v>
      </c>
      <c r="J16" s="147">
        <v>10.8</v>
      </c>
      <c r="T16"/>
      <c r="U16"/>
      <c r="V16"/>
    </row>
    <row r="17" spans="1:22" ht="15.75" customHeight="1" x14ac:dyDescent="0.2">
      <c r="A17" s="86" t="s">
        <v>84</v>
      </c>
      <c r="B17" s="87">
        <v>1436.1</v>
      </c>
      <c r="C17" s="87">
        <v>1552.4</v>
      </c>
      <c r="D17" s="87">
        <v>8.1</v>
      </c>
      <c r="E17" s="88">
        <v>3383</v>
      </c>
      <c r="F17" s="88">
        <v>3552</v>
      </c>
      <c r="G17" s="87">
        <v>5</v>
      </c>
      <c r="H17" s="87">
        <v>4858.3</v>
      </c>
      <c r="I17" s="87">
        <v>5514.1</v>
      </c>
      <c r="J17" s="87">
        <v>13.5</v>
      </c>
      <c r="U17"/>
      <c r="V17"/>
    </row>
    <row r="18" spans="1:22" ht="15.75" customHeight="1" x14ac:dyDescent="0.2">
      <c r="A18" s="86" t="s">
        <v>85</v>
      </c>
      <c r="B18" s="87">
        <v>1097.9000000000001</v>
      </c>
      <c r="C18" s="87">
        <v>1108.9000000000001</v>
      </c>
      <c r="D18" s="87">
        <v>1</v>
      </c>
      <c r="E18" s="88">
        <v>3441</v>
      </c>
      <c r="F18" s="88">
        <v>3966</v>
      </c>
      <c r="G18" s="87">
        <v>15.3</v>
      </c>
      <c r="H18" s="87">
        <v>3777.9</v>
      </c>
      <c r="I18" s="87">
        <v>4397.8999999999996</v>
      </c>
      <c r="J18" s="87">
        <v>16.399999999999999</v>
      </c>
      <c r="U18"/>
      <c r="V18"/>
    </row>
    <row r="19" spans="1:22" ht="15.75" customHeight="1" x14ac:dyDescent="0.2">
      <c r="A19" s="86" t="s">
        <v>86</v>
      </c>
      <c r="B19" s="87">
        <v>3.8</v>
      </c>
      <c r="C19" s="87">
        <v>4.2</v>
      </c>
      <c r="D19" s="87">
        <v>10.5</v>
      </c>
      <c r="E19" s="88">
        <v>3749</v>
      </c>
      <c r="F19" s="88">
        <v>3718</v>
      </c>
      <c r="G19" s="87">
        <v>-0.8</v>
      </c>
      <c r="H19" s="87">
        <v>14.2</v>
      </c>
      <c r="I19" s="87">
        <v>15.6</v>
      </c>
      <c r="J19" s="87">
        <v>9.9</v>
      </c>
      <c r="U19"/>
      <c r="V19"/>
    </row>
    <row r="20" spans="1:22" ht="15.75" hidden="1" customHeight="1" x14ac:dyDescent="0.2">
      <c r="A20" s="142" t="s">
        <v>87</v>
      </c>
      <c r="B20" s="398">
        <v>0</v>
      </c>
      <c r="C20" s="398">
        <v>0</v>
      </c>
      <c r="D20" s="397">
        <v>0</v>
      </c>
      <c r="E20" s="399">
        <v>0</v>
      </c>
      <c r="F20" s="399"/>
      <c r="G20" s="145">
        <v>0</v>
      </c>
      <c r="H20" s="145">
        <v>0</v>
      </c>
      <c r="I20" s="145">
        <v>0</v>
      </c>
      <c r="J20" s="145">
        <v>0</v>
      </c>
    </row>
    <row r="21" spans="1:22" ht="15.75" hidden="1" customHeight="1" x14ac:dyDescent="0.2">
      <c r="A21" s="142" t="s">
        <v>88</v>
      </c>
      <c r="B21" s="398">
        <v>0</v>
      </c>
      <c r="C21" s="398">
        <v>0</v>
      </c>
      <c r="D21" s="397">
        <v>0</v>
      </c>
      <c r="E21" s="399">
        <v>0</v>
      </c>
      <c r="F21" s="399"/>
      <c r="G21" s="145">
        <v>0</v>
      </c>
      <c r="H21" s="145">
        <v>0</v>
      </c>
      <c r="I21" s="145">
        <v>0</v>
      </c>
      <c r="J21" s="145">
        <v>0</v>
      </c>
    </row>
    <row r="22" spans="1:22" ht="15.75" customHeight="1" x14ac:dyDescent="0.2">
      <c r="A22" s="86" t="s">
        <v>89</v>
      </c>
      <c r="B22" s="87">
        <v>0.8</v>
      </c>
      <c r="C22" s="87">
        <v>0.8</v>
      </c>
      <c r="D22" s="87">
        <v>0</v>
      </c>
      <c r="E22" s="88">
        <v>3000</v>
      </c>
      <c r="F22" s="88">
        <v>3000</v>
      </c>
      <c r="G22" s="87">
        <v>0</v>
      </c>
      <c r="H22" s="87">
        <v>2.4</v>
      </c>
      <c r="I22" s="87">
        <v>2.4</v>
      </c>
      <c r="J22" s="87">
        <v>0</v>
      </c>
      <c r="U22"/>
      <c r="V22"/>
    </row>
    <row r="23" spans="1:22" ht="15.75" customHeight="1" x14ac:dyDescent="0.2">
      <c r="A23" s="86" t="s">
        <v>90</v>
      </c>
      <c r="B23" s="87">
        <v>4.9000000000000004</v>
      </c>
      <c r="C23" s="87">
        <v>5.8</v>
      </c>
      <c r="D23" s="87">
        <v>18.399999999999999</v>
      </c>
      <c r="E23" s="88">
        <v>3600</v>
      </c>
      <c r="F23" s="88">
        <v>3600</v>
      </c>
      <c r="G23" s="87">
        <v>0</v>
      </c>
      <c r="H23" s="87">
        <v>17.600000000000001</v>
      </c>
      <c r="I23" s="87">
        <v>20.9</v>
      </c>
      <c r="J23" s="87">
        <v>18.8</v>
      </c>
      <c r="U23"/>
      <c r="V23"/>
    </row>
    <row r="24" spans="1:22" ht="15.75" hidden="1" customHeight="1" x14ac:dyDescent="0.2">
      <c r="A24" s="142" t="s">
        <v>91</v>
      </c>
      <c r="B24" s="398">
        <v>0</v>
      </c>
      <c r="C24" s="398">
        <v>0</v>
      </c>
      <c r="D24" s="397">
        <v>0</v>
      </c>
      <c r="E24" s="399">
        <v>0</v>
      </c>
      <c r="F24" s="399"/>
      <c r="G24" s="145">
        <v>0</v>
      </c>
      <c r="H24" s="145">
        <v>0</v>
      </c>
      <c r="I24" s="145">
        <v>0</v>
      </c>
      <c r="J24" s="145">
        <v>0</v>
      </c>
    </row>
    <row r="25" spans="1:22" ht="15.75" customHeight="1" x14ac:dyDescent="0.2">
      <c r="A25" s="86" t="s">
        <v>92</v>
      </c>
      <c r="B25" s="87">
        <v>2135.6</v>
      </c>
      <c r="C25" s="87">
        <v>2218.9</v>
      </c>
      <c r="D25" s="87">
        <v>3.9</v>
      </c>
      <c r="E25" s="88">
        <v>4142</v>
      </c>
      <c r="F25" s="88">
        <v>4260</v>
      </c>
      <c r="G25" s="87">
        <v>2.8</v>
      </c>
      <c r="H25" s="87">
        <v>8845.7000000000007</v>
      </c>
      <c r="I25" s="87">
        <v>9452.5</v>
      </c>
      <c r="J25" s="87">
        <v>6.9</v>
      </c>
      <c r="U25"/>
      <c r="V25"/>
    </row>
    <row r="26" spans="1:22" ht="15.75" customHeight="1" x14ac:dyDescent="0.2">
      <c r="A26" s="146" t="s">
        <v>93</v>
      </c>
      <c r="B26" s="147">
        <v>22035.200000000001</v>
      </c>
      <c r="C26" s="147">
        <v>22621.3</v>
      </c>
      <c r="D26" s="147">
        <v>2.7</v>
      </c>
      <c r="E26" s="148">
        <v>3929.0901421362182</v>
      </c>
      <c r="F26" s="148">
        <v>3885.0973330445208</v>
      </c>
      <c r="G26" s="147">
        <v>-1.1000000000000001</v>
      </c>
      <c r="H26" s="147">
        <v>86578.3</v>
      </c>
      <c r="I26" s="147">
        <v>87885.9</v>
      </c>
      <c r="J26" s="147">
        <v>1.5</v>
      </c>
      <c r="T26"/>
      <c r="U26"/>
      <c r="V26"/>
    </row>
    <row r="27" spans="1:22" ht="15.75" customHeight="1" x14ac:dyDescent="0.2">
      <c r="A27" s="86" t="s">
        <v>94</v>
      </c>
      <c r="B27" s="87">
        <v>12738.7</v>
      </c>
      <c r="C27" s="87">
        <v>13006.2</v>
      </c>
      <c r="D27" s="87">
        <v>2.1</v>
      </c>
      <c r="E27" s="88">
        <v>4028</v>
      </c>
      <c r="F27" s="88">
        <v>3969</v>
      </c>
      <c r="G27" s="87">
        <v>-1.5</v>
      </c>
      <c r="H27" s="87">
        <v>51311.5</v>
      </c>
      <c r="I27" s="87">
        <v>51621.599999999999</v>
      </c>
      <c r="J27" s="87">
        <v>0.6</v>
      </c>
      <c r="U27"/>
      <c r="V27"/>
    </row>
    <row r="28" spans="1:22" ht="15.75" customHeight="1" x14ac:dyDescent="0.2">
      <c r="A28" s="86" t="s">
        <v>95</v>
      </c>
      <c r="B28" s="87">
        <v>4253.3999999999996</v>
      </c>
      <c r="C28" s="87">
        <v>4372.5</v>
      </c>
      <c r="D28" s="87">
        <v>2.8</v>
      </c>
      <c r="E28" s="88">
        <v>3339</v>
      </c>
      <c r="F28" s="88">
        <v>3603</v>
      </c>
      <c r="G28" s="87">
        <v>7.9</v>
      </c>
      <c r="H28" s="87">
        <v>14202.1</v>
      </c>
      <c r="I28" s="87">
        <v>15754.1</v>
      </c>
      <c r="J28" s="87">
        <v>10.9</v>
      </c>
      <c r="U28"/>
      <c r="V28"/>
    </row>
    <row r="29" spans="1:22" ht="15.75" customHeight="1" x14ac:dyDescent="0.2">
      <c r="A29" s="86" t="s">
        <v>96</v>
      </c>
      <c r="B29" s="87">
        <v>4954.7</v>
      </c>
      <c r="C29" s="87">
        <v>5152.8999999999996</v>
      </c>
      <c r="D29" s="87">
        <v>4</v>
      </c>
      <c r="E29" s="88">
        <v>4183</v>
      </c>
      <c r="F29" s="88">
        <v>3910</v>
      </c>
      <c r="G29" s="87">
        <v>-6.5</v>
      </c>
      <c r="H29" s="87">
        <v>20725.5</v>
      </c>
      <c r="I29" s="87">
        <v>20147.8</v>
      </c>
      <c r="J29" s="87">
        <v>-2.8</v>
      </c>
      <c r="U29"/>
      <c r="V29"/>
    </row>
    <row r="30" spans="1:22" ht="15.75" customHeight="1" x14ac:dyDescent="0.2">
      <c r="A30" s="86" t="s">
        <v>97</v>
      </c>
      <c r="B30" s="87">
        <v>88.4</v>
      </c>
      <c r="C30" s="87">
        <v>89.7</v>
      </c>
      <c r="D30" s="87">
        <v>1.5</v>
      </c>
      <c r="E30" s="88">
        <v>3837</v>
      </c>
      <c r="F30" s="88">
        <v>4040</v>
      </c>
      <c r="G30" s="87">
        <v>5.3</v>
      </c>
      <c r="H30" s="87">
        <v>339.2</v>
      </c>
      <c r="I30" s="87">
        <v>362.4</v>
      </c>
      <c r="J30" s="87">
        <v>6.8</v>
      </c>
      <c r="U30"/>
      <c r="V30"/>
    </row>
    <row r="31" spans="1:22" ht="15.75" customHeight="1" x14ac:dyDescent="0.2">
      <c r="A31" s="146" t="s">
        <v>98</v>
      </c>
      <c r="B31" s="147">
        <v>3672.5</v>
      </c>
      <c r="C31" s="147">
        <v>3738.7</v>
      </c>
      <c r="D31" s="147">
        <v>1.8</v>
      </c>
      <c r="E31" s="148">
        <v>3938.4232266848198</v>
      </c>
      <c r="F31" s="148">
        <v>3885.7243159386953</v>
      </c>
      <c r="G31" s="147">
        <v>-1.3</v>
      </c>
      <c r="H31" s="147">
        <v>14463.9</v>
      </c>
      <c r="I31" s="147">
        <v>14527.599999999999</v>
      </c>
      <c r="J31" s="147">
        <v>0.4</v>
      </c>
      <c r="T31"/>
      <c r="U31"/>
      <c r="V31"/>
    </row>
    <row r="32" spans="1:22" ht="15.75" customHeight="1" x14ac:dyDescent="0.2">
      <c r="A32" s="86" t="s">
        <v>99</v>
      </c>
      <c r="B32" s="87">
        <v>2316.9</v>
      </c>
      <c r="C32" s="87">
        <v>2342.4</v>
      </c>
      <c r="D32" s="87">
        <v>1.1000000000000001</v>
      </c>
      <c r="E32" s="88">
        <v>3965</v>
      </c>
      <c r="F32" s="88">
        <v>3910</v>
      </c>
      <c r="G32" s="87">
        <v>-1.4</v>
      </c>
      <c r="H32" s="87">
        <v>9186.5</v>
      </c>
      <c r="I32" s="87">
        <v>9158.7999999999993</v>
      </c>
      <c r="J32" s="87">
        <v>-0.3</v>
      </c>
      <c r="U32"/>
      <c r="V32"/>
    </row>
    <row r="33" spans="1:22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/>
      <c r="G33" s="145">
        <v>0</v>
      </c>
      <c r="H33" s="145">
        <v>0</v>
      </c>
      <c r="I33" s="145">
        <v>0</v>
      </c>
      <c r="J33" s="145">
        <v>0</v>
      </c>
    </row>
    <row r="34" spans="1:22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/>
      <c r="G34" s="145">
        <v>0</v>
      </c>
      <c r="H34" s="145">
        <v>0</v>
      </c>
      <c r="I34" s="145">
        <v>0</v>
      </c>
      <c r="J34" s="145">
        <v>0</v>
      </c>
    </row>
    <row r="35" spans="1:22" ht="15.75" customHeight="1" x14ac:dyDescent="0.2">
      <c r="A35" s="86" t="s">
        <v>102</v>
      </c>
      <c r="B35" s="87">
        <v>1355.6</v>
      </c>
      <c r="C35" s="87">
        <v>1396.3</v>
      </c>
      <c r="D35" s="87">
        <v>3</v>
      </c>
      <c r="E35" s="88">
        <v>3893</v>
      </c>
      <c r="F35" s="88">
        <v>3845</v>
      </c>
      <c r="G35" s="87">
        <v>-1.2</v>
      </c>
      <c r="H35" s="87">
        <v>5277.4</v>
      </c>
      <c r="I35" s="87">
        <v>5368.8</v>
      </c>
      <c r="J35" s="87">
        <v>1.7</v>
      </c>
      <c r="U35"/>
      <c r="V35"/>
    </row>
    <row r="36" spans="1:22" ht="15.75" customHeight="1" x14ac:dyDescent="0.2">
      <c r="A36" s="146" t="s">
        <v>103</v>
      </c>
      <c r="B36" s="147">
        <v>13261.8</v>
      </c>
      <c r="C36" s="147">
        <v>13363.7</v>
      </c>
      <c r="D36" s="147">
        <v>0.8</v>
      </c>
      <c r="E36" s="148">
        <v>3003.2143072584417</v>
      </c>
      <c r="F36" s="148">
        <v>3273.8808787985367</v>
      </c>
      <c r="G36" s="147">
        <v>9</v>
      </c>
      <c r="H36" s="147">
        <v>39828.1</v>
      </c>
      <c r="I36" s="147">
        <v>43751.199999999997</v>
      </c>
      <c r="J36" s="147">
        <v>9.9</v>
      </c>
    </row>
    <row r="37" spans="1:22" ht="15.75" customHeight="1" x14ac:dyDescent="0.2">
      <c r="A37" s="86" t="s">
        <v>104</v>
      </c>
      <c r="B37" s="87">
        <v>5343.3</v>
      </c>
      <c r="C37" s="87">
        <v>5813.5</v>
      </c>
      <c r="D37" s="87">
        <v>8.8000000000000007</v>
      </c>
      <c r="E37" s="88">
        <v>3739</v>
      </c>
      <c r="F37" s="88">
        <v>3777</v>
      </c>
      <c r="G37" s="87">
        <v>1</v>
      </c>
      <c r="H37" s="87">
        <v>19978.599999999999</v>
      </c>
      <c r="I37" s="87">
        <v>21957.599999999999</v>
      </c>
      <c r="J37" s="87">
        <v>9.9</v>
      </c>
      <c r="U37"/>
      <c r="V37"/>
    </row>
    <row r="38" spans="1:22" ht="15.75" customHeight="1" x14ac:dyDescent="0.2">
      <c r="A38" s="142" t="s">
        <v>105</v>
      </c>
      <c r="B38" s="143">
        <v>819.8</v>
      </c>
      <c r="C38" s="143">
        <v>820.6</v>
      </c>
      <c r="D38" s="143">
        <v>0.1</v>
      </c>
      <c r="E38" s="144">
        <v>3933</v>
      </c>
      <c r="F38" s="144">
        <v>3850</v>
      </c>
      <c r="G38" s="145">
        <v>-2.1</v>
      </c>
      <c r="H38" s="143">
        <v>3224.3</v>
      </c>
      <c r="I38" s="143">
        <v>3159.3</v>
      </c>
      <c r="J38" s="143">
        <v>-2</v>
      </c>
      <c r="U38"/>
      <c r="V38"/>
    </row>
    <row r="39" spans="1:22" ht="15.75" customHeight="1" x14ac:dyDescent="0.2">
      <c r="A39" s="142" t="s">
        <v>106</v>
      </c>
      <c r="B39" s="143">
        <v>7098.7</v>
      </c>
      <c r="C39" s="143">
        <v>6729.6</v>
      </c>
      <c r="D39" s="143">
        <v>-5.2</v>
      </c>
      <c r="E39" s="144">
        <v>2342</v>
      </c>
      <c r="F39" s="144">
        <v>2769</v>
      </c>
      <c r="G39" s="145">
        <v>18.2</v>
      </c>
      <c r="H39" s="143">
        <v>16625.2</v>
      </c>
      <c r="I39" s="143">
        <v>18634.3</v>
      </c>
      <c r="J39" s="143">
        <v>12.1</v>
      </c>
      <c r="U39"/>
      <c r="V39"/>
    </row>
    <row r="40" spans="1:22" ht="15.75" customHeight="1" x14ac:dyDescent="0.2">
      <c r="A40" s="146" t="s">
        <v>107</v>
      </c>
      <c r="B40" s="147">
        <v>8376.6</v>
      </c>
      <c r="C40" s="147">
        <v>8884.9</v>
      </c>
      <c r="D40" s="147">
        <v>6.1</v>
      </c>
      <c r="E40" s="148">
        <v>3654.23963183153</v>
      </c>
      <c r="F40" s="148">
        <v>3853.9546871658658</v>
      </c>
      <c r="G40" s="147">
        <v>5.5</v>
      </c>
      <c r="H40" s="147">
        <v>30610.2</v>
      </c>
      <c r="I40" s="147">
        <v>34241.9</v>
      </c>
      <c r="J40" s="147">
        <v>11.9</v>
      </c>
    </row>
    <row r="41" spans="1:22" ht="15.75" customHeight="1" x14ac:dyDescent="0.2">
      <c r="A41" s="146" t="s">
        <v>108</v>
      </c>
      <c r="B41" s="147">
        <v>38969.5</v>
      </c>
      <c r="C41" s="147">
        <v>39723.699999999997</v>
      </c>
      <c r="D41" s="147">
        <v>1.9</v>
      </c>
      <c r="E41" s="148">
        <v>3614.8827647262597</v>
      </c>
      <c r="F41" s="148">
        <v>3679.5331678569728</v>
      </c>
      <c r="G41" s="147">
        <v>1.8</v>
      </c>
      <c r="H41" s="147">
        <v>140870.29999999999</v>
      </c>
      <c r="I41" s="147">
        <v>146164.70000000001</v>
      </c>
      <c r="J41" s="147">
        <v>3.8</v>
      </c>
    </row>
    <row r="42" spans="1:22" ht="15.75" customHeight="1" x14ac:dyDescent="0.2">
      <c r="A42" s="149" t="s">
        <v>58</v>
      </c>
      <c r="B42" s="150">
        <v>47346.1</v>
      </c>
      <c r="C42" s="150">
        <v>48608.6</v>
      </c>
      <c r="D42" s="150">
        <v>2.7</v>
      </c>
      <c r="E42" s="151">
        <v>3621.8458880456883</v>
      </c>
      <c r="F42" s="151">
        <v>3711.4147229091154</v>
      </c>
      <c r="G42" s="150">
        <v>2.5</v>
      </c>
      <c r="H42" s="150">
        <v>171480.5</v>
      </c>
      <c r="I42" s="150">
        <v>180406.6</v>
      </c>
      <c r="J42" s="150">
        <v>5.2</v>
      </c>
    </row>
    <row r="43" spans="1:22" ht="15.75" customHeight="1" x14ac:dyDescent="0.2">
      <c r="A43" s="152" t="s">
        <v>7</v>
      </c>
      <c r="B43" s="153"/>
      <c r="C43" s="153"/>
      <c r="D43" s="153"/>
      <c r="E43" s="153"/>
      <c r="F43" s="153"/>
      <c r="G43" s="153"/>
      <c r="H43" s="153"/>
      <c r="I43" s="153"/>
      <c r="J43" s="153"/>
    </row>
    <row r="44" spans="1:22" ht="15.75" customHeight="1" x14ac:dyDescent="0.2">
      <c r="A44" s="25" t="s">
        <v>212</v>
      </c>
      <c r="B44" s="324"/>
      <c r="I44" s="194"/>
    </row>
    <row r="45" spans="1:22" ht="20.25" customHeight="1" x14ac:dyDescent="0.2">
      <c r="B45" s="325"/>
    </row>
    <row r="47" spans="1:22" ht="20.25" customHeight="1" x14ac:dyDescent="0.2">
      <c r="I47" s="130"/>
    </row>
  </sheetData>
  <mergeCells count="5">
    <mergeCell ref="A1:J1"/>
    <mergeCell ref="A5:A7"/>
    <mergeCell ref="B5:D5"/>
    <mergeCell ref="E5:G5"/>
    <mergeCell ref="H5:J5"/>
  </mergeCells>
  <printOptions gridLines="1"/>
  <pageMargins left="0.51180599999999998" right="0.39375000000000004" top="0.98402800000000012" bottom="0.98402800000000012" header="0.5" footer="0.5"/>
  <pageSetup paperSize="9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20.25" customHeight="1" x14ac:dyDescent="0.2"/>
  <cols>
    <col min="1" max="1" width="19.42578125" style="126" customWidth="1"/>
    <col min="2" max="3" width="11.42578125" style="126" customWidth="1"/>
    <col min="4" max="4" width="8.85546875" style="126" bestFit="1" customWidth="1"/>
    <col min="5" max="6" width="11.42578125" style="126" customWidth="1"/>
    <col min="7" max="7" width="7.42578125" style="126" customWidth="1"/>
    <col min="8" max="9" width="11.42578125" style="126" customWidth="1"/>
    <col min="10" max="10" width="8.85546875" style="126" bestFit="1" customWidth="1"/>
    <col min="11" max="17" width="11.42578125" style="126" customWidth="1"/>
  </cols>
  <sheetData>
    <row r="1" spans="1:20" ht="29.25" customHeight="1" x14ac:dyDescent="0.2">
      <c r="A1" s="465"/>
      <c r="B1" s="465"/>
      <c r="C1" s="465"/>
      <c r="D1" s="465"/>
      <c r="E1" s="465"/>
      <c r="F1" s="465"/>
      <c r="G1" s="465"/>
      <c r="H1" s="465"/>
      <c r="I1" s="465"/>
      <c r="J1" s="465"/>
    </row>
    <row r="2" spans="1:2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2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2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20" ht="20.25" customHeight="1" x14ac:dyDescent="0.2">
      <c r="A5" s="452" t="s">
        <v>61</v>
      </c>
      <c r="B5" s="454" t="s">
        <v>62</v>
      </c>
      <c r="C5" s="454"/>
      <c r="D5" s="454"/>
      <c r="E5" s="452" t="s">
        <v>63</v>
      </c>
      <c r="F5" s="452"/>
      <c r="G5" s="452"/>
      <c r="H5" s="454" t="s">
        <v>64</v>
      </c>
      <c r="I5" s="454"/>
      <c r="J5" s="454"/>
    </row>
    <row r="6" spans="1:20" ht="20.25" customHeight="1" x14ac:dyDescent="0.2">
      <c r="A6" s="452"/>
      <c r="B6" s="171" t="s">
        <v>2</v>
      </c>
      <c r="C6" s="171" t="s">
        <v>5</v>
      </c>
      <c r="D6" s="171" t="s">
        <v>65</v>
      </c>
      <c r="E6" s="171" t="s">
        <v>2</v>
      </c>
      <c r="F6" s="171" t="s">
        <v>5</v>
      </c>
      <c r="G6" s="171" t="s">
        <v>65</v>
      </c>
      <c r="H6" s="171" t="s">
        <v>2</v>
      </c>
      <c r="I6" s="171" t="s">
        <v>5</v>
      </c>
      <c r="J6" s="171" t="s">
        <v>65</v>
      </c>
    </row>
    <row r="7" spans="1:20" ht="20.25" customHeight="1" x14ac:dyDescent="0.2">
      <c r="A7" s="453"/>
      <c r="B7" s="326" t="s">
        <v>66</v>
      </c>
      <c r="C7" s="172" t="s">
        <v>67</v>
      </c>
      <c r="D7" s="173" t="s">
        <v>68</v>
      </c>
      <c r="E7" s="173" t="s">
        <v>69</v>
      </c>
      <c r="F7" s="174" t="s">
        <v>70</v>
      </c>
      <c r="G7" s="173" t="s">
        <v>71</v>
      </c>
      <c r="H7" s="174" t="s">
        <v>72</v>
      </c>
      <c r="I7" s="173" t="s">
        <v>73</v>
      </c>
      <c r="J7" s="174" t="s">
        <v>74</v>
      </c>
    </row>
    <row r="8" spans="1:20" ht="15.75" customHeight="1" x14ac:dyDescent="0.2">
      <c r="A8" s="139" t="s">
        <v>75</v>
      </c>
      <c r="B8" s="140">
        <v>136.80000000000001</v>
      </c>
      <c r="C8" s="140">
        <v>187.5</v>
      </c>
      <c r="D8" s="140">
        <v>37.1</v>
      </c>
      <c r="E8" s="141">
        <v>2602.4824561403511</v>
      </c>
      <c r="F8" s="141">
        <v>2545.2778666666663</v>
      </c>
      <c r="G8" s="140">
        <v>-2.2000000000000002</v>
      </c>
      <c r="H8" s="140">
        <v>356</v>
      </c>
      <c r="I8" s="140">
        <v>477.3</v>
      </c>
      <c r="J8" s="140">
        <v>34.1</v>
      </c>
    </row>
    <row r="9" spans="1:20" ht="15.75" hidden="1" customHeight="1" x14ac:dyDescent="0.2">
      <c r="A9" s="142" t="s">
        <v>76</v>
      </c>
      <c r="B9" s="143">
        <v>0</v>
      </c>
      <c r="C9" s="143">
        <v>0</v>
      </c>
      <c r="D9" s="143">
        <v>0</v>
      </c>
      <c r="E9" s="144"/>
      <c r="F9" s="144"/>
      <c r="G9" s="145">
        <v>0</v>
      </c>
      <c r="H9" s="143">
        <v>0</v>
      </c>
      <c r="I9" s="143">
        <v>0</v>
      </c>
      <c r="J9" s="143">
        <v>0</v>
      </c>
    </row>
    <row r="10" spans="1:20" ht="15.75" hidden="1" customHeight="1" x14ac:dyDescent="0.2">
      <c r="A10" s="142" t="s">
        <v>77</v>
      </c>
      <c r="B10" s="143">
        <v>0</v>
      </c>
      <c r="C10" s="143">
        <v>0</v>
      </c>
      <c r="D10" s="143">
        <v>0</v>
      </c>
      <c r="E10" s="144"/>
      <c r="F10" s="144"/>
      <c r="G10" s="145">
        <v>0</v>
      </c>
      <c r="H10" s="143">
        <v>0</v>
      </c>
      <c r="I10" s="143">
        <v>0</v>
      </c>
      <c r="J10" s="143">
        <v>0</v>
      </c>
    </row>
    <row r="11" spans="1:20" ht="15.75" hidden="1" customHeight="1" x14ac:dyDescent="0.2">
      <c r="A11" s="142" t="s">
        <v>78</v>
      </c>
      <c r="B11" s="143">
        <v>0</v>
      </c>
      <c r="C11" s="143">
        <v>0</v>
      </c>
      <c r="D11" s="143">
        <v>0</v>
      </c>
      <c r="E11" s="144"/>
      <c r="F11" s="144"/>
      <c r="G11" s="145">
        <v>0</v>
      </c>
      <c r="H11" s="143">
        <v>0</v>
      </c>
      <c r="I11" s="143">
        <v>0</v>
      </c>
      <c r="J11" s="143">
        <v>0</v>
      </c>
    </row>
    <row r="12" spans="1:20" ht="15.75" hidden="1" customHeight="1" x14ac:dyDescent="0.2">
      <c r="A12" s="142" t="s">
        <v>79</v>
      </c>
      <c r="B12" s="143">
        <v>0</v>
      </c>
      <c r="C12" s="143">
        <v>0</v>
      </c>
      <c r="D12" s="143">
        <v>0</v>
      </c>
      <c r="E12" s="144"/>
      <c r="F12" s="144"/>
      <c r="G12" s="145">
        <v>0</v>
      </c>
      <c r="H12" s="143">
        <v>0</v>
      </c>
      <c r="I12" s="143">
        <v>0</v>
      </c>
      <c r="J12" s="143">
        <v>0</v>
      </c>
    </row>
    <row r="13" spans="1:20" ht="15.75" hidden="1" customHeight="1" x14ac:dyDescent="0.2">
      <c r="A13" s="142" t="s">
        <v>80</v>
      </c>
      <c r="B13" s="143">
        <v>0</v>
      </c>
      <c r="C13" s="143">
        <v>0</v>
      </c>
      <c r="D13" s="143">
        <v>0</v>
      </c>
      <c r="E13" s="144"/>
      <c r="F13" s="144"/>
      <c r="G13" s="145">
        <v>0</v>
      </c>
      <c r="H13" s="143">
        <v>0</v>
      </c>
      <c r="I13" s="143">
        <v>0</v>
      </c>
      <c r="J13" s="143">
        <v>0</v>
      </c>
    </row>
    <row r="14" spans="1:20" ht="15.75" customHeight="1" x14ac:dyDescent="0.2">
      <c r="A14" s="86" t="s">
        <v>81</v>
      </c>
      <c r="B14" s="87">
        <v>82.2</v>
      </c>
      <c r="C14" s="87">
        <v>115.6</v>
      </c>
      <c r="D14" s="87">
        <v>40.6</v>
      </c>
      <c r="E14" s="88">
        <v>2549</v>
      </c>
      <c r="F14" s="88">
        <v>2561</v>
      </c>
      <c r="G14" s="87">
        <v>0.5</v>
      </c>
      <c r="H14" s="87">
        <v>209.5</v>
      </c>
      <c r="I14" s="87">
        <v>296.10000000000002</v>
      </c>
      <c r="J14" s="87">
        <v>41.3</v>
      </c>
      <c r="R14" s="126"/>
      <c r="S14" s="126"/>
      <c r="T14" s="126"/>
    </row>
    <row r="15" spans="1:20" ht="15.75" customHeight="1" x14ac:dyDescent="0.2">
      <c r="A15" s="86" t="s">
        <v>82</v>
      </c>
      <c r="B15" s="87">
        <v>54.6</v>
      </c>
      <c r="C15" s="87">
        <v>71.900000000000006</v>
      </c>
      <c r="D15" s="87">
        <v>31.7</v>
      </c>
      <c r="E15" s="88">
        <v>2683</v>
      </c>
      <c r="F15" s="88">
        <v>2520</v>
      </c>
      <c r="G15" s="87">
        <v>-6.1</v>
      </c>
      <c r="H15" s="87">
        <v>146.5</v>
      </c>
      <c r="I15" s="87">
        <v>181.2</v>
      </c>
      <c r="J15" s="87">
        <v>23.7</v>
      </c>
      <c r="R15" s="126"/>
      <c r="S15" s="126"/>
      <c r="T15" s="126"/>
    </row>
    <row r="16" spans="1:20" ht="15.75" customHeight="1" x14ac:dyDescent="0.2">
      <c r="A16" s="146" t="s">
        <v>83</v>
      </c>
      <c r="B16" s="147">
        <v>337.5</v>
      </c>
      <c r="C16" s="147">
        <v>431</v>
      </c>
      <c r="D16" s="147">
        <v>27.7</v>
      </c>
      <c r="E16" s="148">
        <v>3621.3777777777777</v>
      </c>
      <c r="F16" s="148">
        <v>3016.6403712296983</v>
      </c>
      <c r="G16" s="147">
        <v>-16.7</v>
      </c>
      <c r="H16" s="147">
        <v>1222.2</v>
      </c>
      <c r="I16" s="147">
        <v>1300.0999999999999</v>
      </c>
      <c r="J16" s="147">
        <v>6.4</v>
      </c>
    </row>
    <row r="17" spans="1:20" ht="15.75" customHeight="1" x14ac:dyDescent="0.2">
      <c r="A17" s="86" t="s">
        <v>84</v>
      </c>
      <c r="B17" s="87">
        <v>50.6</v>
      </c>
      <c r="C17" s="87">
        <v>80</v>
      </c>
      <c r="D17" s="87">
        <v>58.1</v>
      </c>
      <c r="E17" s="88">
        <v>2465</v>
      </c>
      <c r="F17" s="88">
        <v>3353</v>
      </c>
      <c r="G17" s="87">
        <v>36</v>
      </c>
      <c r="H17" s="87">
        <v>124.7</v>
      </c>
      <c r="I17" s="87">
        <v>268.2</v>
      </c>
      <c r="J17" s="87">
        <v>115.1</v>
      </c>
      <c r="R17" s="126"/>
      <c r="S17" s="126"/>
      <c r="T17" s="126"/>
    </row>
    <row r="18" spans="1:20" ht="15.75" customHeight="1" x14ac:dyDescent="0.2">
      <c r="A18" s="86" t="s">
        <v>85</v>
      </c>
      <c r="B18" s="87">
        <v>80.900000000000006</v>
      </c>
      <c r="C18" s="87">
        <v>114.5</v>
      </c>
      <c r="D18" s="87">
        <v>41.5</v>
      </c>
      <c r="E18" s="88">
        <v>3900</v>
      </c>
      <c r="F18" s="88">
        <v>2816</v>
      </c>
      <c r="G18" s="87">
        <v>-27.8</v>
      </c>
      <c r="H18" s="87">
        <v>315.5</v>
      </c>
      <c r="I18" s="87">
        <v>322.39999999999998</v>
      </c>
      <c r="J18" s="87">
        <v>2.2000000000000002</v>
      </c>
      <c r="R18" s="126"/>
      <c r="S18" s="126"/>
      <c r="T18" s="126"/>
    </row>
    <row r="19" spans="1:20" ht="15.75" hidden="1" customHeight="1" x14ac:dyDescent="0.2">
      <c r="A19" s="142" t="s">
        <v>86</v>
      </c>
      <c r="B19" s="145">
        <v>0</v>
      </c>
      <c r="C19" s="145">
        <v>0</v>
      </c>
      <c r="D19" s="143"/>
      <c r="E19" s="186"/>
      <c r="F19" s="186"/>
      <c r="G19" s="145">
        <v>0</v>
      </c>
      <c r="H19" s="145">
        <v>0</v>
      </c>
      <c r="I19" s="145">
        <v>0</v>
      </c>
      <c r="J19" s="145">
        <v>0</v>
      </c>
    </row>
    <row r="20" spans="1:20" ht="15.75" hidden="1" customHeight="1" x14ac:dyDescent="0.2">
      <c r="A20" s="142" t="s">
        <v>87</v>
      </c>
      <c r="B20" s="143">
        <v>0</v>
      </c>
      <c r="C20" s="143">
        <v>0</v>
      </c>
      <c r="D20" s="143">
        <v>0</v>
      </c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  <c r="R20" s="126"/>
      <c r="S20" s="126"/>
    </row>
    <row r="21" spans="1:20" ht="15.75" hidden="1" customHeight="1" x14ac:dyDescent="0.2">
      <c r="A21" s="142" t="s">
        <v>88</v>
      </c>
      <c r="B21" s="145">
        <v>0</v>
      </c>
      <c r="C21" s="145">
        <v>0</v>
      </c>
      <c r="D21" s="143"/>
      <c r="E21" s="186">
        <v>0</v>
      </c>
      <c r="F21" s="186">
        <v>0</v>
      </c>
      <c r="G21" s="145">
        <v>0</v>
      </c>
      <c r="H21" s="145">
        <v>0</v>
      </c>
      <c r="I21" s="145">
        <v>0</v>
      </c>
      <c r="J21" s="145">
        <v>0</v>
      </c>
    </row>
    <row r="22" spans="1:20" ht="15.75" hidden="1" customHeight="1" x14ac:dyDescent="0.2">
      <c r="A22" s="142" t="s">
        <v>89</v>
      </c>
      <c r="B22" s="145">
        <v>0</v>
      </c>
      <c r="C22" s="145">
        <v>0</v>
      </c>
      <c r="D22" s="143"/>
      <c r="E22" s="186">
        <v>0</v>
      </c>
      <c r="F22" s="186">
        <v>0</v>
      </c>
      <c r="G22" s="145">
        <v>0</v>
      </c>
      <c r="H22" s="145">
        <v>0</v>
      </c>
      <c r="I22" s="145">
        <v>0</v>
      </c>
      <c r="J22" s="145">
        <v>0</v>
      </c>
    </row>
    <row r="23" spans="1:20" ht="15.75" hidden="1" customHeight="1" x14ac:dyDescent="0.2">
      <c r="A23" s="142" t="s">
        <v>90</v>
      </c>
      <c r="B23" s="145">
        <v>0</v>
      </c>
      <c r="C23" s="145">
        <v>0</v>
      </c>
      <c r="D23" s="143"/>
      <c r="E23" s="186">
        <v>0</v>
      </c>
      <c r="F23" s="186">
        <v>0</v>
      </c>
      <c r="G23" s="145">
        <v>0</v>
      </c>
      <c r="H23" s="145">
        <v>0</v>
      </c>
      <c r="I23" s="145">
        <v>0</v>
      </c>
      <c r="J23" s="145">
        <v>0</v>
      </c>
    </row>
    <row r="24" spans="1:20" ht="15.75" hidden="1" customHeight="1" x14ac:dyDescent="0.2">
      <c r="A24" s="142" t="s">
        <v>91</v>
      </c>
      <c r="B24" s="145">
        <v>0</v>
      </c>
      <c r="C24" s="145">
        <v>0</v>
      </c>
      <c r="D24" s="143"/>
      <c r="E24" s="186">
        <v>0</v>
      </c>
      <c r="F24" s="186">
        <v>0</v>
      </c>
      <c r="G24" s="145">
        <v>0</v>
      </c>
      <c r="H24" s="145">
        <v>0</v>
      </c>
      <c r="I24" s="145">
        <v>0</v>
      </c>
      <c r="J24" s="145">
        <v>0</v>
      </c>
    </row>
    <row r="25" spans="1:20" ht="15.75" customHeight="1" x14ac:dyDescent="0.2">
      <c r="A25" s="86" t="s">
        <v>92</v>
      </c>
      <c r="B25" s="87">
        <v>206</v>
      </c>
      <c r="C25" s="87">
        <v>236.5</v>
      </c>
      <c r="D25" s="87">
        <v>14.8</v>
      </c>
      <c r="E25" s="88">
        <v>3796</v>
      </c>
      <c r="F25" s="88">
        <v>3000</v>
      </c>
      <c r="G25" s="87">
        <v>-21</v>
      </c>
      <c r="H25" s="87">
        <v>782</v>
      </c>
      <c r="I25" s="87">
        <v>709.5</v>
      </c>
      <c r="J25" s="87">
        <v>-9.3000000000000007</v>
      </c>
      <c r="R25" s="126"/>
      <c r="S25" s="126"/>
      <c r="T25" s="126"/>
    </row>
    <row r="26" spans="1:20" ht="15.75" customHeight="1" x14ac:dyDescent="0.2">
      <c r="A26" s="146" t="s">
        <v>93</v>
      </c>
      <c r="B26" s="147">
        <v>647</v>
      </c>
      <c r="C26" s="147">
        <v>1010.5</v>
      </c>
      <c r="D26" s="147">
        <v>56.2</v>
      </c>
      <c r="E26" s="148">
        <v>4007.2624420401853</v>
      </c>
      <c r="F26" s="148">
        <v>3548.1875309252846</v>
      </c>
      <c r="G26" s="147">
        <v>-11.5</v>
      </c>
      <c r="H26" s="147">
        <v>2592.7000000000003</v>
      </c>
      <c r="I26" s="147">
        <v>3585.4</v>
      </c>
      <c r="J26" s="147">
        <v>38.299999999999997</v>
      </c>
    </row>
    <row r="27" spans="1:20" ht="15.75" customHeight="1" x14ac:dyDescent="0.2">
      <c r="A27" s="86" t="s">
        <v>94</v>
      </c>
      <c r="B27" s="87">
        <v>96</v>
      </c>
      <c r="C27" s="87">
        <v>123.1</v>
      </c>
      <c r="D27" s="87">
        <v>28.2</v>
      </c>
      <c r="E27" s="88">
        <v>3569</v>
      </c>
      <c r="F27" s="88">
        <v>3543</v>
      </c>
      <c r="G27" s="87">
        <v>-0.7</v>
      </c>
      <c r="H27" s="87">
        <v>342.6</v>
      </c>
      <c r="I27" s="87">
        <v>436.1</v>
      </c>
      <c r="J27" s="87">
        <v>27.3</v>
      </c>
      <c r="R27" s="126"/>
      <c r="S27" s="126"/>
      <c r="T27" s="126"/>
    </row>
    <row r="28" spans="1:20" ht="15.75" customHeight="1" x14ac:dyDescent="0.2">
      <c r="A28" s="86" t="s">
        <v>95</v>
      </c>
      <c r="B28" s="87">
        <v>137.80000000000001</v>
      </c>
      <c r="C28" s="87">
        <v>234.3</v>
      </c>
      <c r="D28" s="87">
        <v>70</v>
      </c>
      <c r="E28" s="88">
        <v>4097</v>
      </c>
      <c r="F28" s="88">
        <v>4312</v>
      </c>
      <c r="G28" s="87">
        <v>5.2</v>
      </c>
      <c r="H28" s="87">
        <v>564.6</v>
      </c>
      <c r="I28" s="87">
        <v>1010.3</v>
      </c>
      <c r="J28" s="87">
        <v>78.900000000000006</v>
      </c>
      <c r="R28" s="126"/>
      <c r="S28" s="126"/>
      <c r="T28" s="126"/>
    </row>
    <row r="29" spans="1:20" ht="15.75" customHeight="1" x14ac:dyDescent="0.2">
      <c r="A29" s="86" t="s">
        <v>96</v>
      </c>
      <c r="B29" s="87">
        <v>394.7</v>
      </c>
      <c r="C29" s="87">
        <v>631.1</v>
      </c>
      <c r="D29" s="87">
        <v>59.9</v>
      </c>
      <c r="E29" s="88">
        <v>4006</v>
      </c>
      <c r="F29" s="88">
        <v>3226</v>
      </c>
      <c r="G29" s="87">
        <v>-19.5</v>
      </c>
      <c r="H29" s="87">
        <v>1581.2</v>
      </c>
      <c r="I29" s="87">
        <v>2035.9</v>
      </c>
      <c r="J29" s="87">
        <v>28.8</v>
      </c>
      <c r="R29" s="126"/>
      <c r="S29" s="126"/>
      <c r="T29" s="126"/>
    </row>
    <row r="30" spans="1:20" ht="15.75" customHeight="1" x14ac:dyDescent="0.2">
      <c r="A30" s="86" t="s">
        <v>97</v>
      </c>
      <c r="B30" s="87">
        <v>18.5</v>
      </c>
      <c r="C30" s="87">
        <v>22</v>
      </c>
      <c r="D30" s="87">
        <v>18.899999999999999</v>
      </c>
      <c r="E30" s="88">
        <v>5640</v>
      </c>
      <c r="F30" s="88">
        <v>4685</v>
      </c>
      <c r="G30" s="87">
        <v>-16.899999999999999</v>
      </c>
      <c r="H30" s="87">
        <v>104.3</v>
      </c>
      <c r="I30" s="87">
        <v>103.1</v>
      </c>
      <c r="J30" s="87">
        <v>-1.2</v>
      </c>
      <c r="R30" s="126"/>
      <c r="S30" s="126"/>
      <c r="T30" s="126"/>
    </row>
    <row r="31" spans="1:20" ht="15.75" customHeight="1" x14ac:dyDescent="0.2">
      <c r="A31" s="146" t="s">
        <v>98</v>
      </c>
      <c r="B31" s="147">
        <v>510.3</v>
      </c>
      <c r="C31" s="147">
        <v>533.40000000000009</v>
      </c>
      <c r="D31" s="147">
        <v>4.5</v>
      </c>
      <c r="E31" s="148">
        <v>3782.4738389182835</v>
      </c>
      <c r="F31" s="148">
        <v>3663.7469066366698</v>
      </c>
      <c r="G31" s="147">
        <v>-3.1</v>
      </c>
      <c r="H31" s="147">
        <v>1930.2</v>
      </c>
      <c r="I31" s="147">
        <v>1954.3000000000002</v>
      </c>
      <c r="J31" s="147">
        <v>1.2</v>
      </c>
      <c r="R31" s="126"/>
      <c r="S31" s="126"/>
    </row>
    <row r="32" spans="1:20" ht="15.75" customHeight="1" x14ac:dyDescent="0.2">
      <c r="A32" s="86" t="s">
        <v>99</v>
      </c>
      <c r="B32" s="87">
        <v>372.3</v>
      </c>
      <c r="C32" s="87">
        <v>384.6</v>
      </c>
      <c r="D32" s="87">
        <v>3.3</v>
      </c>
      <c r="E32" s="88">
        <v>3988</v>
      </c>
      <c r="F32" s="88">
        <v>3671</v>
      </c>
      <c r="G32" s="87">
        <v>-7.9</v>
      </c>
      <c r="H32" s="87">
        <v>1484.7</v>
      </c>
      <c r="I32" s="87">
        <v>1411.9</v>
      </c>
      <c r="J32" s="87">
        <v>-4.9000000000000004</v>
      </c>
      <c r="R32" s="126"/>
      <c r="S32" s="126"/>
      <c r="T32" s="126"/>
    </row>
    <row r="33" spans="1:20" ht="15.75" hidden="1" customHeight="1" x14ac:dyDescent="0.2">
      <c r="A33" s="142" t="s">
        <v>100</v>
      </c>
      <c r="B33" s="145">
        <v>0</v>
      </c>
      <c r="C33" s="145">
        <v>0</v>
      </c>
      <c r="D33" s="143">
        <v>0</v>
      </c>
      <c r="E33" s="186">
        <v>0</v>
      </c>
      <c r="F33" s="186">
        <v>0</v>
      </c>
      <c r="G33" s="145">
        <v>0</v>
      </c>
      <c r="H33" s="145">
        <v>0</v>
      </c>
      <c r="I33" s="145">
        <v>0</v>
      </c>
      <c r="J33" s="145">
        <v>0</v>
      </c>
    </row>
    <row r="34" spans="1:20" ht="15.75" hidden="1" customHeight="1" x14ac:dyDescent="0.2">
      <c r="A34" s="142" t="s">
        <v>101</v>
      </c>
      <c r="B34" s="145">
        <v>0</v>
      </c>
      <c r="C34" s="145">
        <v>0</v>
      </c>
      <c r="D34" s="143">
        <v>0</v>
      </c>
      <c r="E34" s="186">
        <v>0</v>
      </c>
      <c r="F34" s="186">
        <v>0</v>
      </c>
      <c r="G34" s="145">
        <v>0</v>
      </c>
      <c r="H34" s="145">
        <v>0</v>
      </c>
      <c r="I34" s="145">
        <v>0</v>
      </c>
      <c r="J34" s="145">
        <v>0</v>
      </c>
    </row>
    <row r="35" spans="1:20" ht="15.75" customHeight="1" x14ac:dyDescent="0.2">
      <c r="A35" s="86" t="s">
        <v>102</v>
      </c>
      <c r="B35" s="87">
        <v>138</v>
      </c>
      <c r="C35" s="87">
        <v>148.80000000000001</v>
      </c>
      <c r="D35" s="87">
        <v>7.8</v>
      </c>
      <c r="E35" s="88">
        <v>3228</v>
      </c>
      <c r="F35" s="88">
        <v>3645</v>
      </c>
      <c r="G35" s="87">
        <v>12.9</v>
      </c>
      <c r="H35" s="87">
        <v>445.5</v>
      </c>
      <c r="I35" s="87">
        <v>542.4</v>
      </c>
      <c r="J35" s="87">
        <v>21.8</v>
      </c>
      <c r="R35" s="126"/>
      <c r="S35" s="126"/>
      <c r="T35" s="126"/>
    </row>
    <row r="36" spans="1:20" ht="15.75" customHeight="1" x14ac:dyDescent="0.2">
      <c r="A36" s="146" t="s">
        <v>103</v>
      </c>
      <c r="B36" s="147">
        <v>0.4</v>
      </c>
      <c r="C36" s="147">
        <v>6.6</v>
      </c>
      <c r="D36" s="147">
        <v>1550</v>
      </c>
      <c r="E36" s="148">
        <v>2850</v>
      </c>
      <c r="F36" s="148">
        <v>4676.969696969697</v>
      </c>
      <c r="G36" s="147">
        <v>64.099999999999994</v>
      </c>
      <c r="H36" s="147">
        <v>1.1000000000000001</v>
      </c>
      <c r="I36" s="147">
        <v>30.9</v>
      </c>
      <c r="J36" s="147">
        <v>2709.1</v>
      </c>
    </row>
    <row r="37" spans="1:20" ht="15.75" customHeight="1" x14ac:dyDescent="0.2">
      <c r="A37" s="86" t="s">
        <v>104</v>
      </c>
      <c r="B37" s="87">
        <v>0.4</v>
      </c>
      <c r="C37" s="87">
        <v>0.1</v>
      </c>
      <c r="D37" s="87">
        <v>-75</v>
      </c>
      <c r="E37" s="88">
        <v>2850</v>
      </c>
      <c r="F37" s="88">
        <v>5000</v>
      </c>
      <c r="G37" s="87">
        <v>75.400000000000006</v>
      </c>
      <c r="H37" s="87">
        <v>1.1000000000000001</v>
      </c>
      <c r="I37" s="87">
        <v>0.5</v>
      </c>
      <c r="J37" s="87">
        <v>-54.5</v>
      </c>
      <c r="R37" s="126"/>
      <c r="S37" s="126"/>
      <c r="T37" s="126"/>
    </row>
    <row r="38" spans="1:20" ht="15.7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customHeight="1" x14ac:dyDescent="0.2">
      <c r="A39" s="86" t="s">
        <v>106</v>
      </c>
      <c r="B39" s="87">
        <v>0</v>
      </c>
      <c r="C39" s="87">
        <v>6.5</v>
      </c>
      <c r="D39" s="87">
        <v>0</v>
      </c>
      <c r="E39" s="88">
        <v>0</v>
      </c>
      <c r="F39" s="88">
        <v>4672</v>
      </c>
      <c r="G39" s="87">
        <v>0</v>
      </c>
      <c r="H39" s="87">
        <v>0</v>
      </c>
      <c r="I39" s="87">
        <v>30.4</v>
      </c>
      <c r="J39" s="87">
        <v>0</v>
      </c>
      <c r="R39" s="126"/>
      <c r="S39" s="126"/>
      <c r="T39" s="126"/>
    </row>
    <row r="40" spans="1:20" ht="15.75" customHeight="1" x14ac:dyDescent="0.2">
      <c r="A40" s="146" t="s">
        <v>107</v>
      </c>
      <c r="B40" s="147">
        <v>474.3</v>
      </c>
      <c r="C40" s="147">
        <v>618.5</v>
      </c>
      <c r="D40" s="147">
        <v>30.4</v>
      </c>
      <c r="E40" s="148">
        <v>3327.5028462998102</v>
      </c>
      <c r="F40" s="148">
        <v>2873.745513338723</v>
      </c>
      <c r="G40" s="147">
        <v>-13.6</v>
      </c>
      <c r="H40" s="147">
        <v>1578.2</v>
      </c>
      <c r="I40" s="147">
        <v>1777.3999999999999</v>
      </c>
      <c r="J40" s="147">
        <v>12.6</v>
      </c>
    </row>
    <row r="41" spans="1:20" ht="15.75" customHeight="1" x14ac:dyDescent="0.2">
      <c r="A41" s="146" t="s">
        <v>108</v>
      </c>
      <c r="B41" s="147">
        <v>1157.7</v>
      </c>
      <c r="C41" s="147">
        <v>1550.5</v>
      </c>
      <c r="D41" s="147">
        <v>33.9</v>
      </c>
      <c r="E41" s="148">
        <v>3907.7785263885289</v>
      </c>
      <c r="F41" s="148">
        <v>3592.7469203482747</v>
      </c>
      <c r="G41" s="147">
        <v>-8.1</v>
      </c>
      <c r="H41" s="147">
        <v>4524.0000000000009</v>
      </c>
      <c r="I41" s="147">
        <v>5570.6</v>
      </c>
      <c r="J41" s="147">
        <v>23.1</v>
      </c>
    </row>
    <row r="42" spans="1:20" ht="15.75" customHeight="1" x14ac:dyDescent="0.2">
      <c r="A42" s="149" t="s">
        <v>58</v>
      </c>
      <c r="B42" s="150">
        <v>1632</v>
      </c>
      <c r="C42" s="150">
        <v>2169</v>
      </c>
      <c r="D42" s="150">
        <v>32.9</v>
      </c>
      <c r="E42" s="151">
        <v>3739.1359068627457</v>
      </c>
      <c r="F42" s="151">
        <v>3387.7204702627937</v>
      </c>
      <c r="G42" s="150">
        <v>-9.4</v>
      </c>
      <c r="H42" s="150">
        <v>6102.2000000000007</v>
      </c>
      <c r="I42" s="150">
        <v>7348</v>
      </c>
      <c r="J42" s="150">
        <v>20.399999999999999</v>
      </c>
    </row>
    <row r="43" spans="1:20" ht="15.75" customHeight="1" x14ac:dyDescent="0.2">
      <c r="A43" s="190" t="s">
        <v>7</v>
      </c>
      <c r="B43" s="191"/>
      <c r="C43" s="265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212</v>
      </c>
    </row>
    <row r="46" spans="1:20" ht="20.25" customHeight="1" x14ac:dyDescent="0.2">
      <c r="I46" s="12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7" width="11.42578125" style="192" customWidth="1"/>
  </cols>
  <sheetData>
    <row r="1" spans="1:10" ht="39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3" t="s">
        <v>61</v>
      </c>
      <c r="B5" s="505" t="s">
        <v>62</v>
      </c>
      <c r="C5" s="505"/>
      <c r="D5" s="505"/>
      <c r="E5" s="503" t="s">
        <v>63</v>
      </c>
      <c r="F5" s="503"/>
      <c r="G5" s="503"/>
      <c r="H5" s="505" t="s">
        <v>64</v>
      </c>
      <c r="I5" s="505"/>
      <c r="J5" s="505"/>
    </row>
    <row r="6" spans="1:10" ht="20.25" customHeight="1" x14ac:dyDescent="0.2">
      <c r="A6" s="503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4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329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331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331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331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331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331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331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331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333">
        <v>0</v>
      </c>
    </row>
    <row r="17" spans="1:2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331">
        <v>0</v>
      </c>
    </row>
    <row r="18" spans="1:2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331">
        <v>0</v>
      </c>
    </row>
    <row r="19" spans="1:2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331">
        <v>0</v>
      </c>
    </row>
    <row r="20" spans="1:2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331">
        <v>0</v>
      </c>
    </row>
    <row r="21" spans="1:2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331">
        <v>0</v>
      </c>
    </row>
    <row r="22" spans="1:2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331">
        <v>0</v>
      </c>
    </row>
    <row r="23" spans="1:2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331">
        <v>0</v>
      </c>
    </row>
    <row r="24" spans="1:2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331">
        <v>0</v>
      </c>
    </row>
    <row r="25" spans="1:20" ht="15" hidden="1" customHeight="1" x14ac:dyDescent="0.2">
      <c r="A25" s="257" t="s">
        <v>92</v>
      </c>
      <c r="B25" s="259">
        <v>0</v>
      </c>
      <c r="C25" s="259">
        <v>0</v>
      </c>
      <c r="D25" s="259">
        <v>0</v>
      </c>
      <c r="E25" s="334">
        <v>0</v>
      </c>
      <c r="F25" s="334">
        <v>0</v>
      </c>
      <c r="G25" s="258">
        <v>0</v>
      </c>
      <c r="H25" s="259">
        <v>0</v>
      </c>
      <c r="I25" s="259">
        <v>0</v>
      </c>
      <c r="J25" s="335">
        <v>0</v>
      </c>
    </row>
    <row r="26" spans="1:20" ht="15" customHeight="1" x14ac:dyDescent="0.2">
      <c r="A26" s="146" t="s">
        <v>93</v>
      </c>
      <c r="B26" s="147">
        <v>40.4</v>
      </c>
      <c r="C26" s="147">
        <v>27</v>
      </c>
      <c r="D26" s="147">
        <v>-33.200000000000003</v>
      </c>
      <c r="E26" s="148">
        <v>1589</v>
      </c>
      <c r="F26" s="148">
        <v>1681</v>
      </c>
      <c r="G26" s="147">
        <v>5.8</v>
      </c>
      <c r="H26" s="147">
        <v>64.2</v>
      </c>
      <c r="I26" s="147">
        <v>45.4</v>
      </c>
      <c r="J26" s="147">
        <v>-29.3</v>
      </c>
    </row>
    <row r="27" spans="1:20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.75" customHeight="1" x14ac:dyDescent="0.2">
      <c r="A28" s="86" t="s">
        <v>95</v>
      </c>
      <c r="B28" s="87">
        <v>40.4</v>
      </c>
      <c r="C28" s="87">
        <v>27</v>
      </c>
      <c r="D28" s="87">
        <v>-33.200000000000003</v>
      </c>
      <c r="E28" s="88">
        <v>1589</v>
      </c>
      <c r="F28" s="88">
        <v>1680</v>
      </c>
      <c r="G28" s="87">
        <v>5.7</v>
      </c>
      <c r="H28" s="87">
        <v>64.2</v>
      </c>
      <c r="I28" s="87">
        <v>45.4</v>
      </c>
      <c r="J28" s="87">
        <v>-29.3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</row>
    <row r="29" spans="1:20" ht="15" hidden="1" customHeight="1" x14ac:dyDescent="0.2">
      <c r="A29" s="142" t="s">
        <v>96</v>
      </c>
      <c r="B29" s="143">
        <v>0</v>
      </c>
      <c r="C29" s="143">
        <v>0</v>
      </c>
      <c r="D29" s="143">
        <v>0</v>
      </c>
      <c r="E29" s="144">
        <v>0</v>
      </c>
      <c r="F29" s="144">
        <v>0</v>
      </c>
      <c r="G29" s="145">
        <v>0</v>
      </c>
      <c r="H29" s="143">
        <v>0</v>
      </c>
      <c r="I29" s="143">
        <v>0</v>
      </c>
      <c r="J29" s="143">
        <v>0</v>
      </c>
    </row>
    <row r="30" spans="1:20" ht="15" hidden="1" customHeight="1" x14ac:dyDescent="0.2">
      <c r="A30" s="142" t="s">
        <v>97</v>
      </c>
      <c r="B30" s="143">
        <v>0</v>
      </c>
      <c r="C30" s="143">
        <v>0</v>
      </c>
      <c r="D30" s="143">
        <v>0</v>
      </c>
      <c r="E30" s="144">
        <v>0</v>
      </c>
      <c r="F30" s="144">
        <v>0</v>
      </c>
      <c r="G30" s="145">
        <v>0</v>
      </c>
      <c r="H30" s="143">
        <v>0</v>
      </c>
      <c r="I30" s="143">
        <v>0</v>
      </c>
      <c r="J30" s="143">
        <v>0</v>
      </c>
    </row>
    <row r="31" spans="1:20" ht="15" hidden="1" customHeight="1" x14ac:dyDescent="0.2">
      <c r="A31" s="146" t="s">
        <v>98</v>
      </c>
      <c r="B31" s="147">
        <v>0</v>
      </c>
      <c r="C31" s="147">
        <v>0</v>
      </c>
      <c r="D31" s="147"/>
      <c r="E31" s="148">
        <v>0</v>
      </c>
      <c r="F31" s="256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2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20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" hidden="1" customHeight="1" x14ac:dyDescent="0.2">
      <c r="A35" s="142" t="s">
        <v>102</v>
      </c>
      <c r="B35" s="143">
        <v>0</v>
      </c>
      <c r="C35" s="143">
        <v>0</v>
      </c>
      <c r="D35" s="143">
        <v>0</v>
      </c>
      <c r="E35" s="144">
        <v>0</v>
      </c>
      <c r="F35" s="144">
        <v>0</v>
      </c>
      <c r="G35" s="145">
        <v>0</v>
      </c>
      <c r="H35" s="143">
        <v>0</v>
      </c>
      <c r="I35" s="143">
        <v>0</v>
      </c>
      <c r="J35" s="143">
        <v>0</v>
      </c>
    </row>
    <row r="36" spans="1:20" ht="15" customHeight="1" x14ac:dyDescent="0.2">
      <c r="A36" s="146" t="s">
        <v>103</v>
      </c>
      <c r="B36" s="147">
        <v>505.4</v>
      </c>
      <c r="C36" s="147">
        <v>504.6</v>
      </c>
      <c r="D36" s="147">
        <v>-0.2</v>
      </c>
      <c r="E36" s="148">
        <v>2430</v>
      </c>
      <c r="F36" s="256">
        <v>2320</v>
      </c>
      <c r="G36" s="147">
        <v>-4.5</v>
      </c>
      <c r="H36" s="147">
        <v>1228.1000000000001</v>
      </c>
      <c r="I36" s="147">
        <v>1170.8</v>
      </c>
      <c r="J36" s="147">
        <v>-4.7</v>
      </c>
    </row>
    <row r="37" spans="1:20" ht="15.75" customHeight="1" x14ac:dyDescent="0.2">
      <c r="A37" s="86" t="s">
        <v>104</v>
      </c>
      <c r="B37" s="87">
        <v>103.6</v>
      </c>
      <c r="C37" s="87">
        <v>102.8</v>
      </c>
      <c r="D37" s="87">
        <v>-0.8</v>
      </c>
      <c r="E37" s="88">
        <v>2345</v>
      </c>
      <c r="F37" s="88">
        <v>2259</v>
      </c>
      <c r="G37" s="87">
        <v>-3.7</v>
      </c>
      <c r="H37" s="87">
        <v>242.9</v>
      </c>
      <c r="I37" s="87">
        <v>232.2</v>
      </c>
      <c r="J37" s="87">
        <v>-4.4000000000000004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customHeight="1" x14ac:dyDescent="0.2">
      <c r="A39" s="86" t="s">
        <v>106</v>
      </c>
      <c r="B39" s="87">
        <v>401.8</v>
      </c>
      <c r="C39" s="87">
        <v>401.8</v>
      </c>
      <c r="D39" s="87">
        <v>0</v>
      </c>
      <c r="E39" s="88">
        <v>2452</v>
      </c>
      <c r="F39" s="88">
        <v>2336</v>
      </c>
      <c r="G39" s="87">
        <v>-4.7</v>
      </c>
      <c r="H39" s="87">
        <v>985.2</v>
      </c>
      <c r="I39" s="87">
        <v>938.6</v>
      </c>
      <c r="J39" s="87">
        <v>-4.7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20" ht="15" customHeight="1" x14ac:dyDescent="0.2">
      <c r="A41" s="146" t="s">
        <v>108</v>
      </c>
      <c r="B41" s="147">
        <v>545.79999999999995</v>
      </c>
      <c r="C41" s="147">
        <v>531.6</v>
      </c>
      <c r="D41" s="147">
        <v>-2.6</v>
      </c>
      <c r="E41" s="148">
        <v>2368</v>
      </c>
      <c r="F41" s="148">
        <v>2288</v>
      </c>
      <c r="G41" s="147">
        <v>-3.4</v>
      </c>
      <c r="H41" s="147">
        <v>1292.3000000000002</v>
      </c>
      <c r="I41" s="147">
        <v>1216.2</v>
      </c>
      <c r="J41" s="147">
        <v>-5.9</v>
      </c>
    </row>
    <row r="42" spans="1:20" ht="15" customHeight="1" x14ac:dyDescent="0.2">
      <c r="A42" s="149" t="s">
        <v>58</v>
      </c>
      <c r="B42" s="150">
        <v>545.79999999999995</v>
      </c>
      <c r="C42" s="150">
        <v>531.6</v>
      </c>
      <c r="D42" s="150">
        <v>-2.6</v>
      </c>
      <c r="E42" s="151">
        <v>2368</v>
      </c>
      <c r="F42" s="151">
        <v>2288</v>
      </c>
      <c r="G42" s="150">
        <v>-3.4</v>
      </c>
      <c r="H42" s="150">
        <v>1292.3000000000002</v>
      </c>
      <c r="I42" s="150">
        <v>1216.2</v>
      </c>
      <c r="J42" s="150">
        <v>-5.9</v>
      </c>
    </row>
    <row r="43" spans="1:20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20" ht="15.75" customHeight="1" x14ac:dyDescent="0.2">
      <c r="A44" s="192" t="s">
        <v>212</v>
      </c>
    </row>
    <row r="45" spans="1:20" ht="15" customHeight="1" x14ac:dyDescent="0.2"/>
    <row r="46" spans="1:20" ht="15" customHeight="1" x14ac:dyDescent="0.2">
      <c r="F46" s="128"/>
    </row>
    <row r="47" spans="1:20" ht="15" customHeight="1" x14ac:dyDescent="0.2"/>
    <row r="48" spans="1:20" ht="15" customHeight="1" x14ac:dyDescent="0.2"/>
    <row r="49" spans="6:6" ht="15" customHeight="1" x14ac:dyDescent="0.2">
      <c r="F49" s="336"/>
    </row>
    <row r="50" spans="6:6" ht="15" customHeight="1" x14ac:dyDescent="0.2"/>
    <row r="51" spans="6:6" ht="15" customHeight="1" x14ac:dyDescent="0.2"/>
    <row r="52" spans="6:6" ht="15" customHeight="1" x14ac:dyDescent="0.2"/>
    <row r="53" spans="6:6" ht="15" customHeight="1" x14ac:dyDescent="0.2"/>
    <row r="54" spans="6:6" ht="15" customHeight="1" x14ac:dyDescent="0.2"/>
    <row r="55" spans="6:6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7" width="11.42578125" style="192" customWidth="1"/>
  </cols>
  <sheetData>
    <row r="1" spans="1:10" ht="31.5" customHeight="1" x14ac:dyDescent="0.2">
      <c r="A1" s="439"/>
      <c r="B1" s="439"/>
      <c r="C1" s="439"/>
      <c r="D1" s="439"/>
      <c r="E1" s="439"/>
      <c r="F1" s="439"/>
      <c r="G1" s="439"/>
      <c r="H1" s="439"/>
      <c r="I1" s="439"/>
      <c r="J1" s="439"/>
    </row>
    <row r="2" spans="1:10" ht="15.75" customHeight="1" x14ac:dyDescent="0.2">
      <c r="A2" s="439"/>
      <c r="B2" s="439"/>
      <c r="C2" s="439"/>
      <c r="D2" s="439"/>
      <c r="E2" s="439"/>
      <c r="F2" s="439"/>
      <c r="G2" s="439"/>
      <c r="H2" s="439"/>
      <c r="I2" s="439"/>
      <c r="J2" s="439"/>
    </row>
    <row r="3" spans="1:10" ht="15.75" customHeight="1" x14ac:dyDescent="0.2">
      <c r="A3" s="439"/>
      <c r="B3" s="439"/>
      <c r="C3" s="439"/>
      <c r="D3" s="439"/>
      <c r="E3" s="439"/>
      <c r="F3" s="439"/>
      <c r="G3" s="439"/>
      <c r="H3" s="439"/>
      <c r="I3" s="439"/>
      <c r="J3" s="439"/>
    </row>
    <row r="4" spans="1:10" ht="21" customHeight="1" x14ac:dyDescent="0.2">
      <c r="A4" s="439"/>
      <c r="B4" s="439"/>
      <c r="C4" s="439"/>
      <c r="D4" s="439"/>
      <c r="E4" s="439"/>
      <c r="F4" s="439"/>
      <c r="G4" s="439"/>
      <c r="H4" s="439"/>
      <c r="I4" s="439"/>
      <c r="J4" s="439"/>
    </row>
    <row r="5" spans="1:10" ht="20.25" customHeight="1" x14ac:dyDescent="0.2">
      <c r="A5" s="506" t="s">
        <v>61</v>
      </c>
      <c r="B5" s="505" t="s">
        <v>62</v>
      </c>
      <c r="C5" s="505"/>
      <c r="D5" s="505"/>
      <c r="E5" s="503" t="s">
        <v>63</v>
      </c>
      <c r="F5" s="503"/>
      <c r="G5" s="503"/>
      <c r="H5" s="505" t="s">
        <v>64</v>
      </c>
      <c r="I5" s="505"/>
      <c r="J5" s="505"/>
    </row>
    <row r="6" spans="1:10" ht="20.25" customHeight="1" x14ac:dyDescent="0.2">
      <c r="A6" s="506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7"/>
      <c r="B7" s="328" t="s">
        <v>66</v>
      </c>
      <c r="C7" s="327" t="s">
        <v>67</v>
      </c>
      <c r="D7" s="327" t="s">
        <v>68</v>
      </c>
      <c r="E7" s="327" t="s">
        <v>69</v>
      </c>
      <c r="F7" s="327" t="s">
        <v>70</v>
      </c>
      <c r="G7" s="327" t="s">
        <v>71</v>
      </c>
      <c r="H7" s="327" t="s">
        <v>72</v>
      </c>
      <c r="I7" s="327" t="s">
        <v>73</v>
      </c>
      <c r="J7" s="327" t="s">
        <v>74</v>
      </c>
    </row>
    <row r="8" spans="1:10" ht="15" hidden="1" customHeight="1" x14ac:dyDescent="0.2">
      <c r="A8" s="196" t="s">
        <v>75</v>
      </c>
      <c r="B8" s="254">
        <v>0</v>
      </c>
      <c r="C8" s="254">
        <v>0</v>
      </c>
      <c r="D8" s="254">
        <v>0</v>
      </c>
      <c r="E8" s="292">
        <v>0</v>
      </c>
      <c r="F8" s="292">
        <v>0</v>
      </c>
      <c r="G8" s="254">
        <v>0</v>
      </c>
      <c r="H8" s="254">
        <v>0</v>
      </c>
      <c r="I8" s="254">
        <v>0</v>
      </c>
      <c r="J8" s="254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47">
        <v>0</v>
      </c>
      <c r="C16" s="147">
        <v>0</v>
      </c>
      <c r="D16" s="147">
        <v>0</v>
      </c>
      <c r="E16" s="148">
        <v>0</v>
      </c>
      <c r="F16" s="148">
        <v>0</v>
      </c>
      <c r="G16" s="147">
        <v>0</v>
      </c>
      <c r="H16" s="147">
        <v>0</v>
      </c>
      <c r="I16" s="147">
        <v>0</v>
      </c>
      <c r="J16" s="147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00">
        <v>0</v>
      </c>
      <c r="C25" s="200">
        <v>0</v>
      </c>
      <c r="D25" s="200">
        <v>0</v>
      </c>
      <c r="E25" s="330">
        <v>0</v>
      </c>
      <c r="F25" s="330">
        <v>0</v>
      </c>
      <c r="G25" s="201">
        <v>0</v>
      </c>
      <c r="H25" s="200">
        <v>0</v>
      </c>
      <c r="I25" s="200">
        <v>0</v>
      </c>
      <c r="J25" s="200">
        <v>0</v>
      </c>
    </row>
    <row r="26" spans="1:10" ht="15" hidden="1" customHeight="1" x14ac:dyDescent="0.2">
      <c r="A26" s="337" t="s">
        <v>93</v>
      </c>
      <c r="B26" s="147">
        <v>0</v>
      </c>
      <c r="C26" s="147">
        <v>0</v>
      </c>
      <c r="D26" s="147">
        <v>0</v>
      </c>
      <c r="E26" s="148">
        <v>0</v>
      </c>
      <c r="F26" s="148">
        <v>0</v>
      </c>
      <c r="G26" s="147">
        <v>0</v>
      </c>
      <c r="H26" s="147">
        <v>0</v>
      </c>
      <c r="I26" s="147">
        <v>0</v>
      </c>
      <c r="J26" s="147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47">
        <v>0</v>
      </c>
      <c r="C31" s="147">
        <v>0</v>
      </c>
      <c r="D31" s="147">
        <v>0</v>
      </c>
      <c r="E31" s="148">
        <v>0</v>
      </c>
      <c r="F31" s="148">
        <v>0</v>
      </c>
      <c r="G31" s="147">
        <v>0</v>
      </c>
      <c r="H31" s="147">
        <v>0</v>
      </c>
      <c r="I31" s="147">
        <v>0</v>
      </c>
      <c r="J31" s="147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20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20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20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20" ht="15.75" customHeight="1" x14ac:dyDescent="0.2">
      <c r="A36" s="146" t="s">
        <v>103</v>
      </c>
      <c r="B36" s="147">
        <v>211.9</v>
      </c>
      <c r="C36" s="147">
        <v>370.7</v>
      </c>
      <c r="D36" s="147">
        <v>74.900000000000006</v>
      </c>
      <c r="E36" s="148">
        <v>1627</v>
      </c>
      <c r="F36" s="148">
        <v>1620</v>
      </c>
      <c r="G36" s="147">
        <v>-0.4</v>
      </c>
      <c r="H36" s="147">
        <v>344.8</v>
      </c>
      <c r="I36" s="147">
        <v>600.6</v>
      </c>
      <c r="J36" s="147">
        <v>74.2</v>
      </c>
    </row>
    <row r="37" spans="1:20" ht="15.75" customHeight="1" x14ac:dyDescent="0.2">
      <c r="A37" s="86" t="s">
        <v>104</v>
      </c>
      <c r="B37" s="87">
        <v>2</v>
      </c>
      <c r="C37" s="87">
        <v>4.4000000000000004</v>
      </c>
      <c r="D37" s="87">
        <v>120</v>
      </c>
      <c r="E37" s="88">
        <v>2291</v>
      </c>
      <c r="F37" s="88">
        <v>1724.41</v>
      </c>
      <c r="G37" s="87">
        <v>-24.7</v>
      </c>
      <c r="H37" s="87">
        <v>4.5999999999999996</v>
      </c>
      <c r="I37" s="87">
        <v>7.6</v>
      </c>
      <c r="J37" s="87">
        <v>65.2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customHeight="1" x14ac:dyDescent="0.2">
      <c r="A39" s="86" t="s">
        <v>106</v>
      </c>
      <c r="B39" s="87">
        <v>209.9</v>
      </c>
      <c r="C39" s="87">
        <v>366.3</v>
      </c>
      <c r="D39" s="87">
        <v>74.5</v>
      </c>
      <c r="E39" s="88">
        <v>1621</v>
      </c>
      <c r="F39" s="88">
        <v>1619</v>
      </c>
      <c r="G39" s="87">
        <v>-0.1</v>
      </c>
      <c r="H39" s="87">
        <v>340.2</v>
      </c>
      <c r="I39" s="87">
        <v>593</v>
      </c>
      <c r="J39" s="87">
        <v>74.3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20" ht="15.75" customHeight="1" x14ac:dyDescent="0.2">
      <c r="A41" s="146" t="s">
        <v>108</v>
      </c>
      <c r="B41" s="147">
        <v>211.9</v>
      </c>
      <c r="C41" s="147">
        <v>370.7</v>
      </c>
      <c r="D41" s="147">
        <v>74.900000000000006</v>
      </c>
      <c r="E41" s="148">
        <v>1627</v>
      </c>
      <c r="F41" s="148">
        <v>1620</v>
      </c>
      <c r="G41" s="147">
        <v>-0.4</v>
      </c>
      <c r="H41" s="147">
        <v>344.8</v>
      </c>
      <c r="I41" s="147">
        <v>600.6</v>
      </c>
      <c r="J41" s="147">
        <v>74.2</v>
      </c>
    </row>
    <row r="42" spans="1:20" ht="15" customHeight="1" x14ac:dyDescent="0.2">
      <c r="A42" s="149" t="s">
        <v>58</v>
      </c>
      <c r="B42" s="150">
        <v>211.9</v>
      </c>
      <c r="C42" s="150">
        <v>370.7</v>
      </c>
      <c r="D42" s="150">
        <v>74.900000000000006</v>
      </c>
      <c r="E42" s="151">
        <v>1627</v>
      </c>
      <c r="F42" s="151">
        <v>1620</v>
      </c>
      <c r="G42" s="150">
        <v>-0.4</v>
      </c>
      <c r="H42" s="150">
        <v>344.8</v>
      </c>
      <c r="I42" s="150">
        <v>600.6</v>
      </c>
      <c r="J42" s="150">
        <v>74.2</v>
      </c>
    </row>
    <row r="43" spans="1:20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20" ht="15.75" customHeight="1" x14ac:dyDescent="0.2">
      <c r="A44" s="192" t="s">
        <v>212</v>
      </c>
    </row>
    <row r="45" spans="1:20" ht="15" customHeight="1" x14ac:dyDescent="0.2"/>
    <row r="46" spans="1:20" ht="15" customHeight="1" x14ac:dyDescent="0.2"/>
    <row r="47" spans="1:20" ht="15" customHeight="1" x14ac:dyDescent="0.2"/>
    <row r="48" spans="1:2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55118110236249" right="0.39370078740157477" top="0.98425196850393704" bottom="0.98425196850393704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.75" customHeight="1" x14ac:dyDescent="0.2"/>
  <cols>
    <col min="1" max="1" width="19.42578125" style="126" customWidth="1"/>
    <col min="2" max="3" width="11.42578125" style="126" customWidth="1"/>
    <col min="4" max="4" width="7.42578125" style="126" customWidth="1"/>
    <col min="5" max="6" width="11.42578125" style="126" customWidth="1"/>
    <col min="7" max="7" width="7.42578125" style="126" customWidth="1"/>
    <col min="8" max="9" width="11.42578125" style="126" customWidth="1"/>
    <col min="10" max="10" width="7.42578125" style="126" customWidth="1"/>
    <col min="11" max="17" width="11.42578125" style="126" customWidth="1"/>
  </cols>
  <sheetData>
    <row r="1" spans="1:10" ht="35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8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08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9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333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333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hidden="1" customHeight="1" x14ac:dyDescent="0.2">
      <c r="A31" s="337" t="s">
        <v>98</v>
      </c>
      <c r="B31" s="180">
        <v>0</v>
      </c>
      <c r="C31" s="147">
        <v>0</v>
      </c>
      <c r="D31" s="333">
        <v>0</v>
      </c>
      <c r="E31" s="181">
        <v>0</v>
      </c>
      <c r="F31" s="181">
        <v>0</v>
      </c>
      <c r="G31" s="180">
        <v>0</v>
      </c>
      <c r="H31" s="180">
        <v>0</v>
      </c>
      <c r="I31" s="180">
        <v>0</v>
      </c>
      <c r="J31" s="180">
        <v>0</v>
      </c>
    </row>
    <row r="32" spans="1:10" ht="15" hidden="1" customHeight="1" x14ac:dyDescent="0.2">
      <c r="A32" s="255" t="s">
        <v>99</v>
      </c>
      <c r="B32" s="200">
        <v>0</v>
      </c>
      <c r="C32" s="200">
        <v>0</v>
      </c>
      <c r="D32" s="200">
        <v>0</v>
      </c>
      <c r="E32" s="330">
        <v>0</v>
      </c>
      <c r="F32" s="330">
        <v>0</v>
      </c>
      <c r="G32" s="201">
        <v>0</v>
      </c>
      <c r="H32" s="200">
        <v>0</v>
      </c>
      <c r="I32" s="200">
        <v>0</v>
      </c>
      <c r="J32" s="200">
        <v>0</v>
      </c>
    </row>
    <row r="33" spans="1:20" ht="15" hidden="1" customHeight="1" x14ac:dyDescent="0.2">
      <c r="A33" s="255" t="s">
        <v>100</v>
      </c>
      <c r="B33" s="200">
        <v>0</v>
      </c>
      <c r="C33" s="200">
        <v>0</v>
      </c>
      <c r="D33" s="200">
        <v>0</v>
      </c>
      <c r="E33" s="330">
        <v>0</v>
      </c>
      <c r="F33" s="330">
        <v>0</v>
      </c>
      <c r="G33" s="201">
        <v>0</v>
      </c>
      <c r="H33" s="200">
        <v>0</v>
      </c>
      <c r="I33" s="200">
        <v>0</v>
      </c>
      <c r="J33" s="200">
        <v>0</v>
      </c>
    </row>
    <row r="34" spans="1:20" ht="15" hidden="1" customHeight="1" x14ac:dyDescent="0.2">
      <c r="A34" s="255" t="s">
        <v>101</v>
      </c>
      <c r="B34" s="200">
        <v>0</v>
      </c>
      <c r="C34" s="200">
        <v>0</v>
      </c>
      <c r="D34" s="200">
        <v>0</v>
      </c>
      <c r="E34" s="330">
        <v>0</v>
      </c>
      <c r="F34" s="330">
        <v>0</v>
      </c>
      <c r="G34" s="201">
        <v>0</v>
      </c>
      <c r="H34" s="200">
        <v>0</v>
      </c>
      <c r="I34" s="200">
        <v>0</v>
      </c>
      <c r="J34" s="200">
        <v>0</v>
      </c>
    </row>
    <row r="35" spans="1:20" ht="15" hidden="1" customHeight="1" x14ac:dyDescent="0.2">
      <c r="A35" s="257" t="s">
        <v>102</v>
      </c>
      <c r="B35" s="204">
        <v>0</v>
      </c>
      <c r="C35" s="204">
        <v>0</v>
      </c>
      <c r="D35" s="204">
        <v>0</v>
      </c>
      <c r="E35" s="338">
        <v>0</v>
      </c>
      <c r="F35" s="338">
        <v>0</v>
      </c>
      <c r="G35" s="206">
        <v>0</v>
      </c>
      <c r="H35" s="204">
        <v>0</v>
      </c>
      <c r="I35" s="204">
        <v>0</v>
      </c>
      <c r="J35" s="204">
        <v>0</v>
      </c>
    </row>
    <row r="36" spans="1:20" ht="15" customHeight="1" x14ac:dyDescent="0.2">
      <c r="A36" s="146" t="s">
        <v>103</v>
      </c>
      <c r="B36" s="147">
        <v>2.1</v>
      </c>
      <c r="C36" s="147">
        <v>2.2999999999999998</v>
      </c>
      <c r="D36" s="147">
        <v>9.5</v>
      </c>
      <c r="E36" s="148">
        <v>2381</v>
      </c>
      <c r="F36" s="148">
        <v>2261</v>
      </c>
      <c r="G36" s="147">
        <v>-5</v>
      </c>
      <c r="H36" s="147">
        <v>5</v>
      </c>
      <c r="I36" s="147">
        <v>5.2</v>
      </c>
      <c r="J36" s="147">
        <v>4</v>
      </c>
    </row>
    <row r="37" spans="1:20" ht="15.75" customHeight="1" x14ac:dyDescent="0.2">
      <c r="A37" s="86" t="s">
        <v>104</v>
      </c>
      <c r="B37" s="87">
        <v>2.1</v>
      </c>
      <c r="C37" s="87">
        <v>2.2999999999999998</v>
      </c>
      <c r="D37" s="87">
        <v>9.5</v>
      </c>
      <c r="E37" s="88">
        <v>2401</v>
      </c>
      <c r="F37" s="88">
        <v>2251</v>
      </c>
      <c r="G37" s="87">
        <v>-6.2</v>
      </c>
      <c r="H37" s="87">
        <v>5</v>
      </c>
      <c r="I37" s="87">
        <v>5.2</v>
      </c>
      <c r="J37" s="87">
        <v>4</v>
      </c>
      <c r="R37" s="126"/>
      <c r="S37" s="126"/>
      <c r="T37" s="126"/>
    </row>
    <row r="38" spans="1:2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hidden="1" customHeight="1" x14ac:dyDescent="0.2">
      <c r="A39" s="142" t="s">
        <v>106</v>
      </c>
      <c r="B39" s="145">
        <v>0</v>
      </c>
      <c r="C39" s="145">
        <v>0</v>
      </c>
      <c r="D39" s="143">
        <v>0</v>
      </c>
      <c r="E39" s="186">
        <v>0</v>
      </c>
      <c r="F39" s="186">
        <v>0</v>
      </c>
      <c r="G39" s="145">
        <v>0</v>
      </c>
      <c r="H39" s="145">
        <v>0</v>
      </c>
      <c r="I39" s="145">
        <v>0</v>
      </c>
      <c r="J39" s="145">
        <v>0</v>
      </c>
      <c r="R39" s="126"/>
      <c r="S39" s="126"/>
    </row>
    <row r="40" spans="1:20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20" ht="15" customHeight="1" x14ac:dyDescent="0.2">
      <c r="A41" s="146" t="s">
        <v>108</v>
      </c>
      <c r="B41" s="147">
        <v>2.1</v>
      </c>
      <c r="C41" s="147">
        <v>2.2999999999999998</v>
      </c>
      <c r="D41" s="147">
        <v>9.5</v>
      </c>
      <c r="E41" s="148">
        <v>2381</v>
      </c>
      <c r="F41" s="148">
        <v>2261</v>
      </c>
      <c r="G41" s="147">
        <v>-5</v>
      </c>
      <c r="H41" s="147">
        <v>5</v>
      </c>
      <c r="I41" s="147">
        <v>5.2</v>
      </c>
      <c r="J41" s="147">
        <v>4</v>
      </c>
    </row>
    <row r="42" spans="1:20" ht="15" customHeight="1" x14ac:dyDescent="0.2">
      <c r="A42" s="149" t="s">
        <v>58</v>
      </c>
      <c r="B42" s="150">
        <v>2.1</v>
      </c>
      <c r="C42" s="150">
        <v>2.2999999999999998</v>
      </c>
      <c r="D42" s="150">
        <v>9.5</v>
      </c>
      <c r="E42" s="151">
        <v>2381</v>
      </c>
      <c r="F42" s="151">
        <v>2261</v>
      </c>
      <c r="G42" s="150">
        <v>-5</v>
      </c>
      <c r="H42" s="150">
        <v>5</v>
      </c>
      <c r="I42" s="150">
        <v>5.2</v>
      </c>
      <c r="J42" s="150">
        <v>4</v>
      </c>
    </row>
    <row r="43" spans="1:20" ht="15.75" customHeight="1" x14ac:dyDescent="0.2">
      <c r="A43" s="190" t="s">
        <v>7</v>
      </c>
      <c r="B43" s="191"/>
      <c r="C43" s="191"/>
      <c r="D43" s="191"/>
      <c r="E43" s="191"/>
      <c r="F43" s="191"/>
      <c r="G43" s="191"/>
      <c r="H43" s="191"/>
      <c r="I43" s="191"/>
      <c r="J43" s="191"/>
    </row>
    <row r="44" spans="1:20" ht="15.75" customHeight="1" x14ac:dyDescent="0.2">
      <c r="A44" s="192" t="s">
        <v>212</v>
      </c>
    </row>
    <row r="45" spans="1:20" ht="18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7" width="11.42578125" style="192" customWidth="1"/>
  </cols>
  <sheetData>
    <row r="1" spans="1:10" ht="35.25" customHeight="1" x14ac:dyDescent="0.2">
      <c r="A1" s="451"/>
      <c r="B1" s="451"/>
      <c r="C1" s="451"/>
      <c r="D1" s="451"/>
      <c r="E1" s="451"/>
      <c r="F1" s="451"/>
      <c r="G1" s="451"/>
      <c r="H1" s="451"/>
      <c r="I1" s="451"/>
      <c r="J1" s="451"/>
    </row>
    <row r="2" spans="1:10" ht="15.75" customHeight="1" x14ac:dyDescent="0.2">
      <c r="A2" s="451"/>
      <c r="B2" s="451"/>
      <c r="C2" s="451"/>
      <c r="D2" s="451"/>
      <c r="E2" s="451"/>
      <c r="F2" s="451"/>
      <c r="G2" s="451"/>
      <c r="H2" s="451"/>
      <c r="I2" s="451"/>
      <c r="J2" s="451"/>
    </row>
    <row r="3" spans="1:10" ht="15.75" customHeight="1" x14ac:dyDescent="0.2">
      <c r="A3" s="451"/>
      <c r="B3" s="451"/>
      <c r="C3" s="451"/>
      <c r="D3" s="451"/>
      <c r="E3" s="451"/>
      <c r="F3" s="451"/>
      <c r="G3" s="451"/>
      <c r="H3" s="451"/>
      <c r="I3" s="451"/>
      <c r="J3" s="451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8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08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9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337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337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5" t="s">
        <v>97</v>
      </c>
      <c r="B30" s="200">
        <v>0</v>
      </c>
      <c r="C30" s="200">
        <v>0</v>
      </c>
      <c r="D30" s="200">
        <v>0</v>
      </c>
      <c r="E30" s="330">
        <v>0</v>
      </c>
      <c r="F30" s="330">
        <v>0</v>
      </c>
      <c r="G30" s="201">
        <v>0</v>
      </c>
      <c r="H30" s="200">
        <v>0</v>
      </c>
      <c r="I30" s="200">
        <v>0</v>
      </c>
      <c r="J30" s="200">
        <v>0</v>
      </c>
    </row>
    <row r="31" spans="1:10" ht="15" customHeight="1" x14ac:dyDescent="0.2">
      <c r="A31" s="146" t="s">
        <v>98</v>
      </c>
      <c r="B31" s="147">
        <v>4.0999999999999996</v>
      </c>
      <c r="C31" s="147">
        <v>4.0999999999999996</v>
      </c>
      <c r="D31" s="147">
        <v>0</v>
      </c>
      <c r="E31" s="148">
        <v>3195</v>
      </c>
      <c r="F31" s="148">
        <v>3195</v>
      </c>
      <c r="G31" s="147">
        <v>0</v>
      </c>
      <c r="H31" s="147">
        <v>13.1</v>
      </c>
      <c r="I31" s="147">
        <v>13.1</v>
      </c>
      <c r="J31" s="147">
        <v>0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20" ht="15" hidden="1" customHeight="1" x14ac:dyDescent="0.2">
      <c r="A33" s="142" t="s">
        <v>100</v>
      </c>
      <c r="B33" s="143">
        <v>0</v>
      </c>
      <c r="C33" s="143">
        <v>0</v>
      </c>
      <c r="D33" s="143">
        <v>0</v>
      </c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" hidden="1" customHeight="1" x14ac:dyDescent="0.2">
      <c r="A34" s="142" t="s">
        <v>101</v>
      </c>
      <c r="B34" s="143">
        <v>0</v>
      </c>
      <c r="C34" s="143">
        <v>0</v>
      </c>
      <c r="D34" s="143">
        <v>0</v>
      </c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customHeight="1" x14ac:dyDescent="0.2">
      <c r="A35" s="86" t="s">
        <v>102</v>
      </c>
      <c r="B35" s="87">
        <v>4.0999999999999996</v>
      </c>
      <c r="C35" s="87">
        <v>4.0999999999999996</v>
      </c>
      <c r="D35" s="87">
        <v>0</v>
      </c>
      <c r="E35" s="88">
        <v>3200</v>
      </c>
      <c r="F35" s="88">
        <v>3200</v>
      </c>
      <c r="G35" s="87">
        <v>0</v>
      </c>
      <c r="H35" s="87">
        <v>13.1</v>
      </c>
      <c r="I35" s="87">
        <v>13.1</v>
      </c>
      <c r="J35" s="87">
        <v>0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.75" customHeight="1" x14ac:dyDescent="0.2">
      <c r="A36" s="146" t="s">
        <v>103</v>
      </c>
      <c r="B36" s="147">
        <v>135.1</v>
      </c>
      <c r="C36" s="147">
        <v>148.80000000000001</v>
      </c>
      <c r="D36" s="147">
        <v>10.1</v>
      </c>
      <c r="E36" s="148">
        <v>4393</v>
      </c>
      <c r="F36" s="148">
        <v>4044</v>
      </c>
      <c r="G36" s="147">
        <v>-7.9</v>
      </c>
      <c r="H36" s="147">
        <v>593.5</v>
      </c>
      <c r="I36" s="147">
        <v>601.79999999999995</v>
      </c>
      <c r="J36" s="147">
        <v>1.4</v>
      </c>
    </row>
    <row r="37" spans="1:20" ht="15.75" customHeight="1" x14ac:dyDescent="0.2">
      <c r="A37" s="86" t="s">
        <v>104</v>
      </c>
      <c r="B37" s="87">
        <v>103.7</v>
      </c>
      <c r="C37" s="87">
        <v>128.5</v>
      </c>
      <c r="D37" s="87">
        <v>23.9</v>
      </c>
      <c r="E37" s="88">
        <v>4661</v>
      </c>
      <c r="F37" s="88">
        <v>4218</v>
      </c>
      <c r="G37" s="87">
        <v>-9.5</v>
      </c>
      <c r="H37" s="87">
        <v>483.3</v>
      </c>
      <c r="I37" s="87">
        <v>542</v>
      </c>
      <c r="J37" s="87">
        <v>12.1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hidden="1" customHeight="1" x14ac:dyDescent="0.2">
      <c r="A38" s="142" t="s">
        <v>105</v>
      </c>
      <c r="B38" s="145">
        <v>0</v>
      </c>
      <c r="C38" s="145">
        <v>0</v>
      </c>
      <c r="D38" s="143">
        <v>0</v>
      </c>
      <c r="E38" s="186">
        <v>0</v>
      </c>
      <c r="F38" s="186">
        <v>0</v>
      </c>
      <c r="G38" s="145"/>
      <c r="H38" s="145">
        <v>0</v>
      </c>
      <c r="I38" s="145">
        <v>0</v>
      </c>
      <c r="J38" s="145">
        <v>0</v>
      </c>
      <c r="K38" s="126"/>
      <c r="L38" s="126"/>
      <c r="M38" s="126"/>
      <c r="N38" s="126"/>
      <c r="O38" s="126"/>
      <c r="P38" s="126"/>
      <c r="Q38" s="126"/>
      <c r="R38" s="126"/>
      <c r="S38" s="126"/>
    </row>
    <row r="39" spans="1:20" ht="15.75" customHeight="1" x14ac:dyDescent="0.2">
      <c r="A39" s="86" t="s">
        <v>106</v>
      </c>
      <c r="B39" s="87">
        <v>31.4</v>
      </c>
      <c r="C39" s="87">
        <v>20.3</v>
      </c>
      <c r="D39" s="87">
        <v>-35.4</v>
      </c>
      <c r="E39" s="88">
        <v>3509</v>
      </c>
      <c r="F39" s="88">
        <v>2947</v>
      </c>
      <c r="G39" s="87">
        <v>-16</v>
      </c>
      <c r="H39" s="87">
        <v>110.2</v>
      </c>
      <c r="I39" s="87">
        <v>59.8</v>
      </c>
      <c r="J39" s="87">
        <v>-45.7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20" ht="15.75" customHeight="1" x14ac:dyDescent="0.2">
      <c r="A41" s="146" t="s">
        <v>108</v>
      </c>
      <c r="B41" s="147">
        <v>139.19999999999999</v>
      </c>
      <c r="C41" s="147">
        <v>152.9</v>
      </c>
      <c r="D41" s="147">
        <v>9.8000000000000007</v>
      </c>
      <c r="E41" s="148">
        <v>4358</v>
      </c>
      <c r="F41" s="148">
        <v>4022</v>
      </c>
      <c r="G41" s="147">
        <v>-7.7</v>
      </c>
      <c r="H41" s="147">
        <v>606.6</v>
      </c>
      <c r="I41" s="147">
        <v>614.9</v>
      </c>
      <c r="J41" s="147">
        <v>1.4</v>
      </c>
    </row>
    <row r="42" spans="1:20" ht="15.75" customHeight="1" x14ac:dyDescent="0.2">
      <c r="A42" s="149" t="s">
        <v>58</v>
      </c>
      <c r="B42" s="150">
        <v>139.19999999999999</v>
      </c>
      <c r="C42" s="150">
        <v>152.9</v>
      </c>
      <c r="D42" s="150">
        <v>9.8000000000000007</v>
      </c>
      <c r="E42" s="151">
        <v>4358</v>
      </c>
      <c r="F42" s="151">
        <v>4022</v>
      </c>
      <c r="G42" s="150">
        <v>-7.7</v>
      </c>
      <c r="H42" s="150">
        <v>606.6</v>
      </c>
      <c r="I42" s="150">
        <v>614.9</v>
      </c>
      <c r="J42" s="150">
        <v>1.4</v>
      </c>
    </row>
    <row r="43" spans="1:20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20" ht="15.75" customHeight="1" x14ac:dyDescent="0.2">
      <c r="A44" s="192" t="s">
        <v>212</v>
      </c>
      <c r="C44" s="192" t="s">
        <v>126</v>
      </c>
    </row>
    <row r="45" spans="1:20" ht="15" customHeight="1" x14ac:dyDescent="0.2"/>
    <row r="46" spans="1:20" ht="15" customHeight="1" x14ac:dyDescent="0.2"/>
    <row r="47" spans="1:20" ht="15" customHeight="1" x14ac:dyDescent="0.2">
      <c r="F47" s="128"/>
    </row>
    <row r="48" spans="1:2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  <row r="67" ht="9.7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7" width="11.42578125" style="192" customWidth="1"/>
  </cols>
  <sheetData>
    <row r="1" spans="1:10" ht="36" customHeight="1" x14ac:dyDescent="0.2">
      <c r="A1" s="89"/>
      <c r="B1" s="342"/>
      <c r="C1" s="342"/>
      <c r="D1" s="342"/>
      <c r="E1" s="343"/>
      <c r="F1" s="343"/>
      <c r="G1" s="342"/>
      <c r="H1" s="342"/>
      <c r="I1" s="342"/>
      <c r="J1" s="342"/>
    </row>
    <row r="2" spans="1:10" ht="15.75" customHeight="1" x14ac:dyDescent="0.2">
      <c r="A2" s="89"/>
      <c r="B2" s="342"/>
      <c r="C2" s="342"/>
      <c r="D2" s="342"/>
      <c r="E2" s="343"/>
      <c r="F2" s="343"/>
      <c r="G2" s="342"/>
      <c r="H2" s="342"/>
      <c r="I2" s="342"/>
      <c r="J2" s="342"/>
    </row>
    <row r="3" spans="1:10" ht="15.75" customHeight="1" x14ac:dyDescent="0.2">
      <c r="A3" s="89"/>
      <c r="B3" s="342"/>
      <c r="C3" s="342"/>
      <c r="D3" s="342"/>
      <c r="E3" s="343"/>
      <c r="F3" s="343"/>
      <c r="G3" s="342"/>
      <c r="H3" s="342"/>
      <c r="I3" s="342"/>
      <c r="J3" s="342"/>
    </row>
    <row r="4" spans="1:10" ht="18" customHeight="1" x14ac:dyDescent="0.2">
      <c r="A4" s="89"/>
      <c r="B4" s="342"/>
      <c r="C4" s="342"/>
      <c r="D4" s="342"/>
      <c r="E4" s="343"/>
      <c r="F4" s="343"/>
      <c r="G4" s="342"/>
      <c r="H4" s="342"/>
      <c r="I4" s="342"/>
      <c r="J4" s="342"/>
    </row>
    <row r="5" spans="1:10" ht="20.25" customHeight="1" x14ac:dyDescent="0.2">
      <c r="A5" s="511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12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13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7" t="s">
        <v>82</v>
      </c>
      <c r="B15" s="204">
        <v>0</v>
      </c>
      <c r="C15" s="204">
        <v>0</v>
      </c>
      <c r="D15" s="204">
        <v>0</v>
      </c>
      <c r="E15" s="344">
        <v>0</v>
      </c>
      <c r="F15" s="344">
        <v>0</v>
      </c>
      <c r="G15" s="206">
        <v>0</v>
      </c>
      <c r="H15" s="204">
        <v>0</v>
      </c>
      <c r="I15" s="204">
        <v>0</v>
      </c>
      <c r="J15" s="204">
        <v>0</v>
      </c>
    </row>
    <row r="16" spans="1:10" ht="15" customHeight="1" x14ac:dyDescent="0.2">
      <c r="A16" s="146" t="s">
        <v>83</v>
      </c>
      <c r="B16" s="147">
        <v>5</v>
      </c>
      <c r="C16" s="147">
        <v>3.4</v>
      </c>
      <c r="D16" s="147">
        <v>-32</v>
      </c>
      <c r="E16" s="148">
        <v>6000</v>
      </c>
      <c r="F16" s="148">
        <v>6000</v>
      </c>
      <c r="G16" s="147">
        <v>0</v>
      </c>
      <c r="H16" s="147">
        <v>30</v>
      </c>
      <c r="I16" s="147">
        <v>20.399999999999999</v>
      </c>
      <c r="J16" s="147">
        <v>-32</v>
      </c>
    </row>
    <row r="17" spans="1:20" ht="15" hidden="1" customHeight="1" x14ac:dyDescent="0.2">
      <c r="A17" s="142" t="s">
        <v>84</v>
      </c>
      <c r="B17" s="143">
        <v>0</v>
      </c>
      <c r="C17" s="143">
        <v>0</v>
      </c>
      <c r="D17" s="143"/>
      <c r="E17" s="144">
        <v>0</v>
      </c>
      <c r="F17" s="144">
        <v>0</v>
      </c>
      <c r="G17" s="145">
        <v>0</v>
      </c>
      <c r="H17" s="143">
        <v>0</v>
      </c>
      <c r="I17" s="143">
        <v>0</v>
      </c>
      <c r="J17" s="143">
        <v>0</v>
      </c>
    </row>
    <row r="18" spans="1:20" ht="15" hidden="1" customHeight="1" x14ac:dyDescent="0.2">
      <c r="A18" s="142" t="s">
        <v>85</v>
      </c>
      <c r="B18" s="143">
        <v>0</v>
      </c>
      <c r="C18" s="143">
        <v>0</v>
      </c>
      <c r="D18" s="143"/>
      <c r="E18" s="144">
        <v>0</v>
      </c>
      <c r="F18" s="144">
        <v>0</v>
      </c>
      <c r="G18" s="145">
        <v>0</v>
      </c>
      <c r="H18" s="143">
        <v>0</v>
      </c>
      <c r="I18" s="143">
        <v>0</v>
      </c>
      <c r="J18" s="143">
        <v>0</v>
      </c>
    </row>
    <row r="19" spans="1:20" ht="15" hidden="1" customHeight="1" x14ac:dyDescent="0.2">
      <c r="A19" s="142" t="s">
        <v>86</v>
      </c>
      <c r="B19" s="143">
        <v>0</v>
      </c>
      <c r="C19" s="143">
        <v>0</v>
      </c>
      <c r="D19" s="143"/>
      <c r="E19" s="144">
        <v>0</v>
      </c>
      <c r="F19" s="144">
        <v>0</v>
      </c>
      <c r="G19" s="145">
        <v>0</v>
      </c>
      <c r="H19" s="143">
        <v>0</v>
      </c>
      <c r="I19" s="143">
        <v>0</v>
      </c>
      <c r="J19" s="143">
        <v>0</v>
      </c>
    </row>
    <row r="20" spans="1:20" ht="15" hidden="1" customHeight="1" x14ac:dyDescent="0.2">
      <c r="A20" s="142" t="s">
        <v>87</v>
      </c>
      <c r="B20" s="143">
        <v>0</v>
      </c>
      <c r="C20" s="143">
        <v>0</v>
      </c>
      <c r="D20" s="143"/>
      <c r="E20" s="144">
        <v>0</v>
      </c>
      <c r="F20" s="144">
        <v>0</v>
      </c>
      <c r="G20" s="145">
        <v>0</v>
      </c>
      <c r="H20" s="143">
        <v>0</v>
      </c>
      <c r="I20" s="143">
        <v>0</v>
      </c>
      <c r="J20" s="143">
        <v>0</v>
      </c>
    </row>
    <row r="21" spans="1:20" ht="15" hidden="1" customHeight="1" x14ac:dyDescent="0.2">
      <c r="A21" s="142" t="s">
        <v>88</v>
      </c>
      <c r="B21" s="143">
        <v>0</v>
      </c>
      <c r="C21" s="143">
        <v>0</v>
      </c>
      <c r="D21" s="143"/>
      <c r="E21" s="144">
        <v>0</v>
      </c>
      <c r="F21" s="144">
        <v>0</v>
      </c>
      <c r="G21" s="145">
        <v>0</v>
      </c>
      <c r="H21" s="143">
        <v>0</v>
      </c>
      <c r="I21" s="143">
        <v>0</v>
      </c>
      <c r="J21" s="143">
        <v>0</v>
      </c>
    </row>
    <row r="22" spans="1:20" ht="15" hidden="1" customHeight="1" x14ac:dyDescent="0.2">
      <c r="A22" s="142" t="s">
        <v>89</v>
      </c>
      <c r="B22" s="143">
        <v>0</v>
      </c>
      <c r="C22" s="143">
        <v>0</v>
      </c>
      <c r="D22" s="143"/>
      <c r="E22" s="144">
        <v>0</v>
      </c>
      <c r="F22" s="144">
        <v>0</v>
      </c>
      <c r="G22" s="145">
        <v>0</v>
      </c>
      <c r="H22" s="143">
        <v>0</v>
      </c>
      <c r="I22" s="143">
        <v>0</v>
      </c>
      <c r="J22" s="143">
        <v>0</v>
      </c>
    </row>
    <row r="23" spans="1:20" ht="15" hidden="1" customHeight="1" x14ac:dyDescent="0.2">
      <c r="A23" s="142" t="s">
        <v>90</v>
      </c>
      <c r="B23" s="143">
        <v>0</v>
      </c>
      <c r="C23" s="143">
        <v>0</v>
      </c>
      <c r="D23" s="143"/>
      <c r="E23" s="144">
        <v>0</v>
      </c>
      <c r="F23" s="144">
        <v>0</v>
      </c>
      <c r="G23" s="145">
        <v>0</v>
      </c>
      <c r="H23" s="143">
        <v>0</v>
      </c>
      <c r="I23" s="143">
        <v>0</v>
      </c>
      <c r="J23" s="143">
        <v>0</v>
      </c>
    </row>
    <row r="24" spans="1:20" ht="15" hidden="1" customHeight="1" x14ac:dyDescent="0.2">
      <c r="A24" s="142" t="s">
        <v>91</v>
      </c>
      <c r="B24" s="143">
        <v>0</v>
      </c>
      <c r="C24" s="143">
        <v>0</v>
      </c>
      <c r="D24" s="143"/>
      <c r="E24" s="144">
        <v>0</v>
      </c>
      <c r="F24" s="144">
        <v>0</v>
      </c>
      <c r="G24" s="145">
        <v>0</v>
      </c>
      <c r="H24" s="143">
        <v>0</v>
      </c>
      <c r="I24" s="143">
        <v>0</v>
      </c>
      <c r="J24" s="143">
        <v>0</v>
      </c>
    </row>
    <row r="25" spans="1:20" ht="15.75" customHeight="1" x14ac:dyDescent="0.2">
      <c r="A25" s="86" t="s">
        <v>92</v>
      </c>
      <c r="B25" s="87">
        <v>5</v>
      </c>
      <c r="C25" s="87">
        <v>3.4</v>
      </c>
      <c r="D25" s="87">
        <v>-32</v>
      </c>
      <c r="E25" s="88">
        <v>6000</v>
      </c>
      <c r="F25" s="88">
        <v>6000</v>
      </c>
      <c r="G25" s="87">
        <v>0</v>
      </c>
      <c r="H25" s="87">
        <v>30</v>
      </c>
      <c r="I25" s="87">
        <v>20.399999999999999</v>
      </c>
      <c r="J25" s="87">
        <v>-32</v>
      </c>
      <c r="K25" s="126"/>
      <c r="L25" s="126"/>
      <c r="M25" s="126"/>
      <c r="N25" s="126"/>
      <c r="O25" s="126"/>
      <c r="P25" s="126"/>
      <c r="Q25" s="126"/>
      <c r="R25" s="126"/>
      <c r="S25" s="126"/>
      <c r="T25" s="126"/>
    </row>
    <row r="26" spans="1:20" ht="15" customHeight="1" x14ac:dyDescent="0.2">
      <c r="A26" s="146" t="s">
        <v>93</v>
      </c>
      <c r="B26" s="147">
        <v>88.800000000000011</v>
      </c>
      <c r="C26" s="147">
        <v>70.400000000000006</v>
      </c>
      <c r="D26" s="147">
        <v>-20.7</v>
      </c>
      <c r="E26" s="148">
        <v>3421</v>
      </c>
      <c r="F26" s="148">
        <v>3089</v>
      </c>
      <c r="G26" s="147">
        <v>-9.6999999999999993</v>
      </c>
      <c r="H26" s="147">
        <v>303.8</v>
      </c>
      <c r="I26" s="147">
        <v>217.50000000000003</v>
      </c>
      <c r="J26" s="147">
        <v>-28.4</v>
      </c>
    </row>
    <row r="27" spans="1:20" ht="15" hidden="1" customHeight="1" x14ac:dyDescent="0.2">
      <c r="A27" s="142" t="s">
        <v>94</v>
      </c>
      <c r="B27" s="143">
        <v>0</v>
      </c>
      <c r="C27" s="143">
        <v>0</v>
      </c>
      <c r="D27" s="143"/>
      <c r="E27" s="144">
        <v>0</v>
      </c>
      <c r="F27" s="144">
        <v>0</v>
      </c>
      <c r="G27" s="145">
        <v>0</v>
      </c>
      <c r="H27" s="143">
        <v>0</v>
      </c>
      <c r="I27" s="143">
        <v>0</v>
      </c>
      <c r="J27" s="143">
        <v>0</v>
      </c>
    </row>
    <row r="28" spans="1:20" ht="15.75" customHeight="1" x14ac:dyDescent="0.2">
      <c r="A28" s="86" t="s">
        <v>95</v>
      </c>
      <c r="B28" s="87">
        <v>36.4</v>
      </c>
      <c r="C28" s="87">
        <v>22.5</v>
      </c>
      <c r="D28" s="87">
        <v>-38.200000000000003</v>
      </c>
      <c r="E28" s="88">
        <v>2367</v>
      </c>
      <c r="F28" s="88">
        <v>1635</v>
      </c>
      <c r="G28" s="87">
        <v>-30.9</v>
      </c>
      <c r="H28" s="87">
        <v>86.2</v>
      </c>
      <c r="I28" s="87">
        <v>36.799999999999997</v>
      </c>
      <c r="J28" s="87">
        <v>-57.3</v>
      </c>
      <c r="K28" s="126"/>
      <c r="L28" s="126"/>
      <c r="M28" s="126"/>
      <c r="N28" s="126"/>
      <c r="O28" s="126"/>
      <c r="P28" s="126"/>
      <c r="Q28" s="126"/>
      <c r="R28" s="126"/>
      <c r="S28" s="126"/>
      <c r="T28" s="126"/>
    </row>
    <row r="29" spans="1:20" ht="15.75" customHeight="1" x14ac:dyDescent="0.2">
      <c r="A29" s="86" t="s">
        <v>96</v>
      </c>
      <c r="B29" s="87">
        <v>45</v>
      </c>
      <c r="C29" s="87">
        <v>40</v>
      </c>
      <c r="D29" s="87">
        <v>-11.1</v>
      </c>
      <c r="E29" s="88">
        <v>4178</v>
      </c>
      <c r="F29" s="88">
        <v>3758</v>
      </c>
      <c r="G29" s="87">
        <v>-10.1</v>
      </c>
      <c r="H29" s="87">
        <v>188</v>
      </c>
      <c r="I29" s="87">
        <v>150.30000000000001</v>
      </c>
      <c r="J29" s="87">
        <v>-20.100000000000001</v>
      </c>
      <c r="K29" s="126"/>
      <c r="L29" s="126"/>
      <c r="M29" s="126"/>
      <c r="N29" s="126"/>
      <c r="O29" s="126"/>
      <c r="P29" s="126"/>
      <c r="Q29" s="126"/>
      <c r="R29" s="126"/>
      <c r="S29" s="126"/>
      <c r="T29" s="126"/>
    </row>
    <row r="30" spans="1:20" ht="15.75" customHeight="1" x14ac:dyDescent="0.2">
      <c r="A30" s="86" t="s">
        <v>97</v>
      </c>
      <c r="B30" s="87">
        <v>7.4</v>
      </c>
      <c r="C30" s="87">
        <v>7.9</v>
      </c>
      <c r="D30" s="87">
        <v>6.8</v>
      </c>
      <c r="E30" s="88">
        <v>4001</v>
      </c>
      <c r="F30" s="88">
        <v>3854</v>
      </c>
      <c r="G30" s="87">
        <v>-3.7</v>
      </c>
      <c r="H30" s="87">
        <v>29.6</v>
      </c>
      <c r="I30" s="87">
        <v>30.4</v>
      </c>
      <c r="J30" s="87">
        <v>2.7</v>
      </c>
      <c r="K30" s="126"/>
      <c r="L30" s="126"/>
      <c r="M30" s="126"/>
      <c r="N30" s="126"/>
      <c r="O30" s="126"/>
      <c r="P30" s="126"/>
      <c r="Q30" s="126"/>
      <c r="R30" s="126"/>
      <c r="S30" s="126"/>
      <c r="T30" s="126"/>
    </row>
    <row r="31" spans="1:20" ht="15" customHeight="1" x14ac:dyDescent="0.2">
      <c r="A31" s="146" t="s">
        <v>98</v>
      </c>
      <c r="B31" s="147">
        <v>266.10000000000002</v>
      </c>
      <c r="C31" s="147">
        <v>273.5</v>
      </c>
      <c r="D31" s="147">
        <v>2.8</v>
      </c>
      <c r="E31" s="148">
        <v>2926</v>
      </c>
      <c r="F31" s="148">
        <v>2974</v>
      </c>
      <c r="G31" s="147">
        <v>1.6</v>
      </c>
      <c r="H31" s="147">
        <v>778.59999999999991</v>
      </c>
      <c r="I31" s="147">
        <v>813.3</v>
      </c>
      <c r="J31" s="147">
        <v>4.5</v>
      </c>
    </row>
    <row r="32" spans="1:20" ht="15.75" customHeight="1" x14ac:dyDescent="0.2">
      <c r="A32" s="86" t="s">
        <v>99</v>
      </c>
      <c r="B32" s="87">
        <v>151.1</v>
      </c>
      <c r="C32" s="87">
        <v>158.5</v>
      </c>
      <c r="D32" s="87">
        <v>4.9000000000000004</v>
      </c>
      <c r="E32" s="88">
        <v>2804</v>
      </c>
      <c r="F32" s="88">
        <v>2916</v>
      </c>
      <c r="G32" s="87">
        <v>4</v>
      </c>
      <c r="H32" s="87">
        <v>423.7</v>
      </c>
      <c r="I32" s="87">
        <v>462.2</v>
      </c>
      <c r="J32" s="87">
        <v>9.1</v>
      </c>
      <c r="K32" s="126"/>
      <c r="L32" s="126"/>
      <c r="M32" s="126"/>
      <c r="N32" s="126"/>
      <c r="O32" s="126"/>
      <c r="P32" s="126"/>
      <c r="Q32" s="126"/>
      <c r="R32" s="126"/>
      <c r="S32" s="126"/>
      <c r="T32" s="126"/>
    </row>
    <row r="33" spans="1:20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customHeight="1" x14ac:dyDescent="0.2">
      <c r="A35" s="86" t="s">
        <v>102</v>
      </c>
      <c r="B35" s="87">
        <v>115</v>
      </c>
      <c r="C35" s="87">
        <v>115</v>
      </c>
      <c r="D35" s="87">
        <v>0</v>
      </c>
      <c r="E35" s="88">
        <v>3086</v>
      </c>
      <c r="F35" s="88">
        <v>3053</v>
      </c>
      <c r="G35" s="87">
        <v>-1.1000000000000001</v>
      </c>
      <c r="H35" s="87">
        <v>354.9</v>
      </c>
      <c r="I35" s="87">
        <v>351.1</v>
      </c>
      <c r="J35" s="87">
        <v>-1.1000000000000001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" customHeight="1" x14ac:dyDescent="0.2">
      <c r="A36" s="146" t="s">
        <v>103</v>
      </c>
      <c r="B36" s="147">
        <v>2086</v>
      </c>
      <c r="C36" s="147">
        <v>1579.8</v>
      </c>
      <c r="D36" s="147">
        <v>-24.3</v>
      </c>
      <c r="E36" s="148">
        <v>3241</v>
      </c>
      <c r="F36" s="148">
        <v>2968</v>
      </c>
      <c r="G36" s="147">
        <v>-8.4</v>
      </c>
      <c r="H36" s="147">
        <v>6761</v>
      </c>
      <c r="I36" s="147">
        <v>4688.5</v>
      </c>
      <c r="J36" s="147">
        <v>-30.7</v>
      </c>
    </row>
    <row r="37" spans="1:20" ht="15.75" customHeight="1" x14ac:dyDescent="0.2">
      <c r="A37" s="86" t="s">
        <v>104</v>
      </c>
      <c r="B37" s="87">
        <v>819</v>
      </c>
      <c r="C37" s="87">
        <v>727.3</v>
      </c>
      <c r="D37" s="87">
        <v>-11.2</v>
      </c>
      <c r="E37" s="88">
        <v>3383</v>
      </c>
      <c r="F37" s="88">
        <v>2967</v>
      </c>
      <c r="G37" s="87">
        <v>-12.3</v>
      </c>
      <c r="H37" s="87">
        <v>2770.7</v>
      </c>
      <c r="I37" s="87">
        <v>2157.9</v>
      </c>
      <c r="J37" s="87">
        <v>-22.1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.75" customHeight="1" x14ac:dyDescent="0.2">
      <c r="A38" s="86" t="s">
        <v>105</v>
      </c>
      <c r="B38" s="87">
        <v>110.1</v>
      </c>
      <c r="C38" s="87">
        <v>78.5</v>
      </c>
      <c r="D38" s="87">
        <v>-28.7</v>
      </c>
      <c r="E38" s="88">
        <v>3700</v>
      </c>
      <c r="F38" s="88">
        <v>3406</v>
      </c>
      <c r="G38" s="87">
        <v>-7.9</v>
      </c>
      <c r="H38" s="87">
        <v>407.4</v>
      </c>
      <c r="I38" s="87">
        <v>267.39999999999998</v>
      </c>
      <c r="J38" s="87">
        <v>-34.4</v>
      </c>
      <c r="K38" s="126"/>
      <c r="L38" s="126"/>
      <c r="M38" s="126"/>
      <c r="N38" s="126"/>
      <c r="O38" s="126"/>
      <c r="P38" s="126"/>
      <c r="Q38" s="126"/>
      <c r="R38" s="126"/>
      <c r="S38" s="126"/>
      <c r="T38" s="126"/>
    </row>
    <row r="39" spans="1:20" ht="15.75" customHeight="1" x14ac:dyDescent="0.2">
      <c r="A39" s="86" t="s">
        <v>106</v>
      </c>
      <c r="B39" s="87">
        <v>1156.9000000000001</v>
      </c>
      <c r="C39" s="87">
        <v>774</v>
      </c>
      <c r="D39" s="87">
        <v>-33.1</v>
      </c>
      <c r="E39" s="88">
        <v>3097</v>
      </c>
      <c r="F39" s="88">
        <v>2924</v>
      </c>
      <c r="G39" s="87">
        <v>-5.6</v>
      </c>
      <c r="H39" s="87">
        <v>3582.9</v>
      </c>
      <c r="I39" s="87">
        <v>2263.1999999999998</v>
      </c>
      <c r="J39" s="87">
        <v>-36.799999999999997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customHeight="1" x14ac:dyDescent="0.2">
      <c r="A40" s="146" t="s">
        <v>107</v>
      </c>
      <c r="B40" s="147">
        <v>5</v>
      </c>
      <c r="C40" s="147">
        <v>3.4</v>
      </c>
      <c r="D40" s="147">
        <v>-32</v>
      </c>
      <c r="E40" s="148">
        <v>6000</v>
      </c>
      <c r="F40" s="148">
        <v>6000</v>
      </c>
      <c r="G40" s="147">
        <v>0</v>
      </c>
      <c r="H40" s="147">
        <v>30</v>
      </c>
      <c r="I40" s="147">
        <v>20.399999999999999</v>
      </c>
      <c r="J40" s="147">
        <v>-32</v>
      </c>
    </row>
    <row r="41" spans="1:20" ht="15" customHeight="1" x14ac:dyDescent="0.2">
      <c r="A41" s="146" t="s">
        <v>108</v>
      </c>
      <c r="B41" s="147">
        <v>2440.9</v>
      </c>
      <c r="C41" s="147">
        <v>1923.6999999999998</v>
      </c>
      <c r="D41" s="147">
        <v>-21.2</v>
      </c>
      <c r="E41" s="148">
        <v>3213</v>
      </c>
      <c r="F41" s="148">
        <v>2973</v>
      </c>
      <c r="G41" s="147">
        <v>-7.5</v>
      </c>
      <c r="H41" s="147">
        <v>7843.4</v>
      </c>
      <c r="I41" s="147">
        <v>5719.3</v>
      </c>
      <c r="J41" s="147">
        <v>-27.1</v>
      </c>
    </row>
    <row r="42" spans="1:20" ht="15.75" customHeight="1" x14ac:dyDescent="0.2">
      <c r="A42" s="149" t="s">
        <v>58</v>
      </c>
      <c r="B42" s="150">
        <v>2445.9</v>
      </c>
      <c r="C42" s="150">
        <v>1927.1</v>
      </c>
      <c r="D42" s="150">
        <v>-21.2</v>
      </c>
      <c r="E42" s="151">
        <v>3219</v>
      </c>
      <c r="F42" s="151">
        <v>2978</v>
      </c>
      <c r="G42" s="150">
        <v>-7.5</v>
      </c>
      <c r="H42" s="150">
        <v>7873.4</v>
      </c>
      <c r="I42" s="150">
        <v>5739.7</v>
      </c>
      <c r="J42" s="150">
        <v>-27.1</v>
      </c>
    </row>
    <row r="43" spans="1:20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20" ht="15.75" customHeight="1" x14ac:dyDescent="0.2">
      <c r="A44" s="192" t="s">
        <v>212</v>
      </c>
    </row>
    <row r="45" spans="1:20" ht="15" customHeight="1" x14ac:dyDescent="0.2"/>
    <row r="46" spans="1:20" ht="15" customHeight="1" x14ac:dyDescent="0.2"/>
    <row r="47" spans="1:20" ht="15" customHeight="1" x14ac:dyDescent="0.2"/>
    <row r="48" spans="1:20" ht="15" customHeight="1" x14ac:dyDescent="0.2"/>
    <row r="49" ht="15" customHeight="1" x14ac:dyDescent="0.2"/>
    <row r="50" ht="15" customHeight="1" x14ac:dyDescent="0.2"/>
    <row r="51" ht="15" customHeight="1" x14ac:dyDescent="0.2"/>
    <row r="52" ht="15" customHeight="1" x14ac:dyDescent="0.2"/>
    <row r="53" ht="15" customHeight="1" x14ac:dyDescent="0.2"/>
    <row r="54" ht="15" customHeight="1" x14ac:dyDescent="0.2"/>
    <row r="55" ht="15" customHeight="1" x14ac:dyDescent="0.2"/>
  </sheetData>
  <mergeCells count="4"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showGridLines="0" zoomScale="85" zoomScaleNormal="85" workbookViewId="0">
      <pane xSplit="1" ySplit="7" topLeftCell="B8" activePane="bottomRight" state="frozen"/>
      <selection sqref="A1:J1"/>
      <selection pane="topRight" sqref="A1:J1"/>
      <selection pane="bottomLeft" sqref="A1:J1"/>
      <selection pane="bottomRight" sqref="A1:J1"/>
    </sheetView>
  </sheetViews>
  <sheetFormatPr defaultColWidth="11.42578125" defaultRowHeight="12" customHeight="1" x14ac:dyDescent="0.2"/>
  <cols>
    <col min="1" max="1" width="19.42578125" style="192" customWidth="1"/>
    <col min="2" max="3" width="11.42578125" style="192" customWidth="1"/>
    <col min="4" max="4" width="7.42578125" style="192" customWidth="1"/>
    <col min="5" max="6" width="11.42578125" style="192" customWidth="1"/>
    <col min="7" max="7" width="7.42578125" style="192" customWidth="1"/>
    <col min="8" max="9" width="11.42578125" style="192" customWidth="1"/>
    <col min="10" max="10" width="7.42578125" style="192" customWidth="1"/>
    <col min="11" max="17" width="11.42578125" style="192" customWidth="1"/>
  </cols>
  <sheetData>
    <row r="1" spans="1:10" ht="39" customHeight="1" x14ac:dyDescent="0.2">
      <c r="A1" s="514"/>
      <c r="B1" s="514"/>
      <c r="C1" s="514"/>
      <c r="D1" s="514"/>
      <c r="E1" s="514"/>
      <c r="F1" s="514"/>
      <c r="G1" s="514"/>
      <c r="H1" s="514"/>
      <c r="I1" s="514"/>
      <c r="J1" s="514"/>
    </row>
    <row r="2" spans="1:10" ht="15.75" customHeight="1" x14ac:dyDescent="0.2">
      <c r="A2" s="514"/>
      <c r="B2" s="514"/>
      <c r="C2" s="514"/>
      <c r="D2" s="514"/>
      <c r="E2" s="514"/>
      <c r="F2" s="514"/>
      <c r="G2" s="514"/>
      <c r="H2" s="514"/>
      <c r="I2" s="514"/>
      <c r="J2" s="514"/>
    </row>
    <row r="3" spans="1:10" ht="15.75" customHeight="1" x14ac:dyDescent="0.2">
      <c r="A3" s="514"/>
      <c r="B3" s="514"/>
      <c r="C3" s="514"/>
      <c r="D3" s="514"/>
      <c r="E3" s="514"/>
      <c r="F3" s="514"/>
      <c r="G3" s="514"/>
      <c r="H3" s="514"/>
      <c r="I3" s="514"/>
      <c r="J3" s="514"/>
    </row>
    <row r="4" spans="1:10" ht="15.75" customHeight="1" x14ac:dyDescent="0.2">
      <c r="A4" s="451"/>
      <c r="B4" s="451"/>
      <c r="C4" s="451"/>
      <c r="D4" s="451"/>
      <c r="E4" s="451"/>
      <c r="F4" s="451"/>
      <c r="G4" s="451"/>
      <c r="H4" s="451"/>
      <c r="I4" s="451"/>
      <c r="J4" s="451"/>
    </row>
    <row r="5" spans="1:10" ht="20.25" customHeight="1" x14ac:dyDescent="0.2">
      <c r="A5" s="508" t="s">
        <v>61</v>
      </c>
      <c r="B5" s="510" t="s">
        <v>62</v>
      </c>
      <c r="C5" s="510"/>
      <c r="D5" s="510"/>
      <c r="E5" s="508" t="s">
        <v>63</v>
      </c>
      <c r="F5" s="508"/>
      <c r="G5" s="508"/>
      <c r="H5" s="510" t="s">
        <v>64</v>
      </c>
      <c r="I5" s="510"/>
      <c r="J5" s="510"/>
    </row>
    <row r="6" spans="1:10" ht="20.25" customHeight="1" x14ac:dyDescent="0.2">
      <c r="A6" s="508"/>
      <c r="B6" s="327" t="s">
        <v>8</v>
      </c>
      <c r="C6" s="327" t="s">
        <v>207</v>
      </c>
      <c r="D6" s="327" t="s">
        <v>65</v>
      </c>
      <c r="E6" s="327" t="s">
        <v>8</v>
      </c>
      <c r="F6" s="327" t="s">
        <v>207</v>
      </c>
      <c r="G6" s="327" t="s">
        <v>65</v>
      </c>
      <c r="H6" s="327" t="s">
        <v>8</v>
      </c>
      <c r="I6" s="327" t="s">
        <v>207</v>
      </c>
      <c r="J6" s="327" t="s">
        <v>65</v>
      </c>
    </row>
    <row r="7" spans="1:10" ht="19.5" customHeight="1" x14ac:dyDescent="0.2">
      <c r="A7" s="509"/>
      <c r="B7" s="340" t="s">
        <v>66</v>
      </c>
      <c r="C7" s="339" t="s">
        <v>67</v>
      </c>
      <c r="D7" s="339" t="s">
        <v>68</v>
      </c>
      <c r="E7" s="339" t="s">
        <v>69</v>
      </c>
      <c r="F7" s="339" t="s">
        <v>70</v>
      </c>
      <c r="G7" s="339" t="s">
        <v>71</v>
      </c>
      <c r="H7" s="339" t="s">
        <v>72</v>
      </c>
      <c r="I7" s="339" t="s">
        <v>73</v>
      </c>
      <c r="J7" s="339" t="s">
        <v>74</v>
      </c>
    </row>
    <row r="8" spans="1:10" ht="15" hidden="1" customHeight="1" x14ac:dyDescent="0.2">
      <c r="A8" s="196" t="s">
        <v>75</v>
      </c>
      <c r="B8" s="197">
        <v>0</v>
      </c>
      <c r="C8" s="197">
        <v>0</v>
      </c>
      <c r="D8" s="197">
        <v>0</v>
      </c>
      <c r="E8" s="198">
        <v>0</v>
      </c>
      <c r="F8" s="198">
        <v>0</v>
      </c>
      <c r="G8" s="197">
        <v>0</v>
      </c>
      <c r="H8" s="197">
        <v>0</v>
      </c>
      <c r="I8" s="197">
        <v>0</v>
      </c>
      <c r="J8" s="197">
        <v>0</v>
      </c>
    </row>
    <row r="9" spans="1:10" ht="15" hidden="1" customHeight="1" x14ac:dyDescent="0.2">
      <c r="A9" s="255" t="s">
        <v>76</v>
      </c>
      <c r="B9" s="200">
        <v>0</v>
      </c>
      <c r="C9" s="200">
        <v>0</v>
      </c>
      <c r="D9" s="200">
        <v>0</v>
      </c>
      <c r="E9" s="330">
        <v>0</v>
      </c>
      <c r="F9" s="330">
        <v>0</v>
      </c>
      <c r="G9" s="201">
        <v>0</v>
      </c>
      <c r="H9" s="200">
        <v>0</v>
      </c>
      <c r="I9" s="200">
        <v>0</v>
      </c>
      <c r="J9" s="200">
        <v>0</v>
      </c>
    </row>
    <row r="10" spans="1:10" ht="15" hidden="1" customHeight="1" x14ac:dyDescent="0.2">
      <c r="A10" s="255" t="s">
        <v>77</v>
      </c>
      <c r="B10" s="200">
        <v>0</v>
      </c>
      <c r="C10" s="200">
        <v>0</v>
      </c>
      <c r="D10" s="200">
        <v>0</v>
      </c>
      <c r="E10" s="330">
        <v>0</v>
      </c>
      <c r="F10" s="330">
        <v>0</v>
      </c>
      <c r="G10" s="201">
        <v>0</v>
      </c>
      <c r="H10" s="200">
        <v>0</v>
      </c>
      <c r="I10" s="200">
        <v>0</v>
      </c>
      <c r="J10" s="200">
        <v>0</v>
      </c>
    </row>
    <row r="11" spans="1:10" ht="15" hidden="1" customHeight="1" x14ac:dyDescent="0.2">
      <c r="A11" s="255" t="s">
        <v>78</v>
      </c>
      <c r="B11" s="200">
        <v>0</v>
      </c>
      <c r="C11" s="200">
        <v>0</v>
      </c>
      <c r="D11" s="200">
        <v>0</v>
      </c>
      <c r="E11" s="330">
        <v>0</v>
      </c>
      <c r="F11" s="330">
        <v>0</v>
      </c>
      <c r="G11" s="201">
        <v>0</v>
      </c>
      <c r="H11" s="200">
        <v>0</v>
      </c>
      <c r="I11" s="200">
        <v>0</v>
      </c>
      <c r="J11" s="200">
        <v>0</v>
      </c>
    </row>
    <row r="12" spans="1:10" ht="15" hidden="1" customHeight="1" x14ac:dyDescent="0.2">
      <c r="A12" s="255" t="s">
        <v>79</v>
      </c>
      <c r="B12" s="200">
        <v>0</v>
      </c>
      <c r="C12" s="200">
        <v>0</v>
      </c>
      <c r="D12" s="200">
        <v>0</v>
      </c>
      <c r="E12" s="330">
        <v>0</v>
      </c>
      <c r="F12" s="330">
        <v>0</v>
      </c>
      <c r="G12" s="201">
        <v>0</v>
      </c>
      <c r="H12" s="200">
        <v>0</v>
      </c>
      <c r="I12" s="200">
        <v>0</v>
      </c>
      <c r="J12" s="200">
        <v>0</v>
      </c>
    </row>
    <row r="13" spans="1:10" ht="15" hidden="1" customHeight="1" x14ac:dyDescent="0.2">
      <c r="A13" s="255" t="s">
        <v>80</v>
      </c>
      <c r="B13" s="200">
        <v>0</v>
      </c>
      <c r="C13" s="200">
        <v>0</v>
      </c>
      <c r="D13" s="200">
        <v>0</v>
      </c>
      <c r="E13" s="330">
        <v>0</v>
      </c>
      <c r="F13" s="330">
        <v>0</v>
      </c>
      <c r="G13" s="201">
        <v>0</v>
      </c>
      <c r="H13" s="200">
        <v>0</v>
      </c>
      <c r="I13" s="200">
        <v>0</v>
      </c>
      <c r="J13" s="200">
        <v>0</v>
      </c>
    </row>
    <row r="14" spans="1:10" ht="15" hidden="1" customHeight="1" x14ac:dyDescent="0.2">
      <c r="A14" s="255" t="s">
        <v>81</v>
      </c>
      <c r="B14" s="200">
        <v>0</v>
      </c>
      <c r="C14" s="200">
        <v>0</v>
      </c>
      <c r="D14" s="200">
        <v>0</v>
      </c>
      <c r="E14" s="330">
        <v>0</v>
      </c>
      <c r="F14" s="330">
        <v>0</v>
      </c>
      <c r="G14" s="201">
        <v>0</v>
      </c>
      <c r="H14" s="200">
        <v>0</v>
      </c>
      <c r="I14" s="200">
        <v>0</v>
      </c>
      <c r="J14" s="200">
        <v>0</v>
      </c>
    </row>
    <row r="15" spans="1:10" ht="15" hidden="1" customHeight="1" x14ac:dyDescent="0.2">
      <c r="A15" s="255" t="s">
        <v>82</v>
      </c>
      <c r="B15" s="200">
        <v>0</v>
      </c>
      <c r="C15" s="200">
        <v>0</v>
      </c>
      <c r="D15" s="200">
        <v>0</v>
      </c>
      <c r="E15" s="332">
        <v>0</v>
      </c>
      <c r="F15" s="332">
        <v>0</v>
      </c>
      <c r="G15" s="201">
        <v>0</v>
      </c>
      <c r="H15" s="200">
        <v>0</v>
      </c>
      <c r="I15" s="200">
        <v>0</v>
      </c>
      <c r="J15" s="200">
        <v>0</v>
      </c>
    </row>
    <row r="16" spans="1:10" ht="15" hidden="1" customHeight="1" x14ac:dyDescent="0.2">
      <c r="A16" s="146" t="s">
        <v>83</v>
      </c>
      <c r="B16" s="180">
        <v>0</v>
      </c>
      <c r="C16" s="180">
        <v>0</v>
      </c>
      <c r="D16" s="180">
        <v>0</v>
      </c>
      <c r="E16" s="181">
        <v>0</v>
      </c>
      <c r="F16" s="181">
        <v>0</v>
      </c>
      <c r="G16" s="180">
        <v>0</v>
      </c>
      <c r="H16" s="180">
        <v>0</v>
      </c>
      <c r="I16" s="180">
        <v>0</v>
      </c>
      <c r="J16" s="180">
        <v>0</v>
      </c>
    </row>
    <row r="17" spans="1:10" ht="15" hidden="1" customHeight="1" x14ac:dyDescent="0.2">
      <c r="A17" s="255" t="s">
        <v>84</v>
      </c>
      <c r="B17" s="200">
        <v>0</v>
      </c>
      <c r="C17" s="200">
        <v>0</v>
      </c>
      <c r="D17" s="200">
        <v>0</v>
      </c>
      <c r="E17" s="330">
        <v>0</v>
      </c>
      <c r="F17" s="330">
        <v>0</v>
      </c>
      <c r="G17" s="201">
        <v>0</v>
      </c>
      <c r="H17" s="200">
        <v>0</v>
      </c>
      <c r="I17" s="200">
        <v>0</v>
      </c>
      <c r="J17" s="200">
        <v>0</v>
      </c>
    </row>
    <row r="18" spans="1:10" ht="15" hidden="1" customHeight="1" x14ac:dyDescent="0.2">
      <c r="A18" s="255" t="s">
        <v>85</v>
      </c>
      <c r="B18" s="200">
        <v>0</v>
      </c>
      <c r="C18" s="200">
        <v>0</v>
      </c>
      <c r="D18" s="200">
        <v>0</v>
      </c>
      <c r="E18" s="330">
        <v>0</v>
      </c>
      <c r="F18" s="330">
        <v>0</v>
      </c>
      <c r="G18" s="201">
        <v>0</v>
      </c>
      <c r="H18" s="200">
        <v>0</v>
      </c>
      <c r="I18" s="200">
        <v>0</v>
      </c>
      <c r="J18" s="200">
        <v>0</v>
      </c>
    </row>
    <row r="19" spans="1:10" ht="15" hidden="1" customHeight="1" x14ac:dyDescent="0.2">
      <c r="A19" s="255" t="s">
        <v>86</v>
      </c>
      <c r="B19" s="200">
        <v>0</v>
      </c>
      <c r="C19" s="200">
        <v>0</v>
      </c>
      <c r="D19" s="200">
        <v>0</v>
      </c>
      <c r="E19" s="330">
        <v>0</v>
      </c>
      <c r="F19" s="330">
        <v>0</v>
      </c>
      <c r="G19" s="201">
        <v>0</v>
      </c>
      <c r="H19" s="200">
        <v>0</v>
      </c>
      <c r="I19" s="200">
        <v>0</v>
      </c>
      <c r="J19" s="200">
        <v>0</v>
      </c>
    </row>
    <row r="20" spans="1:10" ht="15" hidden="1" customHeight="1" x14ac:dyDescent="0.2">
      <c r="A20" s="255" t="s">
        <v>87</v>
      </c>
      <c r="B20" s="200">
        <v>0</v>
      </c>
      <c r="C20" s="200">
        <v>0</v>
      </c>
      <c r="D20" s="200">
        <v>0</v>
      </c>
      <c r="E20" s="330">
        <v>0</v>
      </c>
      <c r="F20" s="330">
        <v>0</v>
      </c>
      <c r="G20" s="201">
        <v>0</v>
      </c>
      <c r="H20" s="200">
        <v>0</v>
      </c>
      <c r="I20" s="200">
        <v>0</v>
      </c>
      <c r="J20" s="200">
        <v>0</v>
      </c>
    </row>
    <row r="21" spans="1:10" ht="15" hidden="1" customHeight="1" x14ac:dyDescent="0.2">
      <c r="A21" s="255" t="s">
        <v>88</v>
      </c>
      <c r="B21" s="200">
        <v>0</v>
      </c>
      <c r="C21" s="200">
        <v>0</v>
      </c>
      <c r="D21" s="200">
        <v>0</v>
      </c>
      <c r="E21" s="330">
        <v>0</v>
      </c>
      <c r="F21" s="330">
        <v>0</v>
      </c>
      <c r="G21" s="201">
        <v>0</v>
      </c>
      <c r="H21" s="200">
        <v>0</v>
      </c>
      <c r="I21" s="200">
        <v>0</v>
      </c>
      <c r="J21" s="200">
        <v>0</v>
      </c>
    </row>
    <row r="22" spans="1:10" ht="15" hidden="1" customHeight="1" x14ac:dyDescent="0.2">
      <c r="A22" s="255" t="s">
        <v>89</v>
      </c>
      <c r="B22" s="200">
        <v>0</v>
      </c>
      <c r="C22" s="200">
        <v>0</v>
      </c>
      <c r="D22" s="200">
        <v>0</v>
      </c>
      <c r="E22" s="330">
        <v>0</v>
      </c>
      <c r="F22" s="330">
        <v>0</v>
      </c>
      <c r="G22" s="201">
        <v>0</v>
      </c>
      <c r="H22" s="200">
        <v>0</v>
      </c>
      <c r="I22" s="200">
        <v>0</v>
      </c>
      <c r="J22" s="200">
        <v>0</v>
      </c>
    </row>
    <row r="23" spans="1:10" ht="15" hidden="1" customHeight="1" x14ac:dyDescent="0.2">
      <c r="A23" s="255" t="s">
        <v>90</v>
      </c>
      <c r="B23" s="200">
        <v>0</v>
      </c>
      <c r="C23" s="200">
        <v>0</v>
      </c>
      <c r="D23" s="200">
        <v>0</v>
      </c>
      <c r="E23" s="330">
        <v>0</v>
      </c>
      <c r="F23" s="330">
        <v>0</v>
      </c>
      <c r="G23" s="201">
        <v>0</v>
      </c>
      <c r="H23" s="200">
        <v>0</v>
      </c>
      <c r="I23" s="200">
        <v>0</v>
      </c>
      <c r="J23" s="200">
        <v>0</v>
      </c>
    </row>
    <row r="24" spans="1:10" ht="15" hidden="1" customHeight="1" x14ac:dyDescent="0.2">
      <c r="A24" s="255" t="s">
        <v>91</v>
      </c>
      <c r="B24" s="200">
        <v>0</v>
      </c>
      <c r="C24" s="200">
        <v>0</v>
      </c>
      <c r="D24" s="200">
        <v>0</v>
      </c>
      <c r="E24" s="330">
        <v>0</v>
      </c>
      <c r="F24" s="330">
        <v>0</v>
      </c>
      <c r="G24" s="201">
        <v>0</v>
      </c>
      <c r="H24" s="200">
        <v>0</v>
      </c>
      <c r="I24" s="200">
        <v>0</v>
      </c>
      <c r="J24" s="200">
        <v>0</v>
      </c>
    </row>
    <row r="25" spans="1:10" ht="15" hidden="1" customHeight="1" x14ac:dyDescent="0.2">
      <c r="A25" s="255" t="s">
        <v>92</v>
      </c>
      <c r="B25" s="299">
        <v>0</v>
      </c>
      <c r="C25" s="299">
        <v>0</v>
      </c>
      <c r="D25" s="299">
        <v>0</v>
      </c>
      <c r="E25" s="341">
        <v>0</v>
      </c>
      <c r="F25" s="341">
        <v>0</v>
      </c>
      <c r="G25" s="300">
        <v>0</v>
      </c>
      <c r="H25" s="299">
        <v>0</v>
      </c>
      <c r="I25" s="299">
        <v>0</v>
      </c>
      <c r="J25" s="299">
        <v>0</v>
      </c>
    </row>
    <row r="26" spans="1:10" ht="15" hidden="1" customHeight="1" x14ac:dyDescent="0.2">
      <c r="A26" s="146" t="s">
        <v>93</v>
      </c>
      <c r="B26" s="180">
        <v>0</v>
      </c>
      <c r="C26" s="180">
        <v>0</v>
      </c>
      <c r="D26" s="180">
        <v>0</v>
      </c>
      <c r="E26" s="181">
        <v>0</v>
      </c>
      <c r="F26" s="181">
        <v>0</v>
      </c>
      <c r="G26" s="180">
        <v>0</v>
      </c>
      <c r="H26" s="180">
        <v>0</v>
      </c>
      <c r="I26" s="180">
        <v>0</v>
      </c>
      <c r="J26" s="180">
        <v>0</v>
      </c>
    </row>
    <row r="27" spans="1:10" ht="15" hidden="1" customHeight="1" x14ac:dyDescent="0.2">
      <c r="A27" s="255" t="s">
        <v>94</v>
      </c>
      <c r="B27" s="200">
        <v>0</v>
      </c>
      <c r="C27" s="200">
        <v>0</v>
      </c>
      <c r="D27" s="200">
        <v>0</v>
      </c>
      <c r="E27" s="330">
        <v>0</v>
      </c>
      <c r="F27" s="330">
        <v>0</v>
      </c>
      <c r="G27" s="201">
        <v>0</v>
      </c>
      <c r="H27" s="200">
        <v>0</v>
      </c>
      <c r="I27" s="200">
        <v>0</v>
      </c>
      <c r="J27" s="200">
        <v>0</v>
      </c>
    </row>
    <row r="28" spans="1:10" ht="15" hidden="1" customHeight="1" x14ac:dyDescent="0.2">
      <c r="A28" s="255" t="s">
        <v>95</v>
      </c>
      <c r="B28" s="200">
        <v>0</v>
      </c>
      <c r="C28" s="200">
        <v>0</v>
      </c>
      <c r="D28" s="200">
        <v>0</v>
      </c>
      <c r="E28" s="330">
        <v>0</v>
      </c>
      <c r="F28" s="330">
        <v>0</v>
      </c>
      <c r="G28" s="201">
        <v>0</v>
      </c>
      <c r="H28" s="200">
        <v>0</v>
      </c>
      <c r="I28" s="200">
        <v>0</v>
      </c>
      <c r="J28" s="200">
        <v>0</v>
      </c>
    </row>
    <row r="29" spans="1:10" ht="15" hidden="1" customHeight="1" x14ac:dyDescent="0.2">
      <c r="A29" s="255" t="s">
        <v>96</v>
      </c>
      <c r="B29" s="200">
        <v>0</v>
      </c>
      <c r="C29" s="200">
        <v>0</v>
      </c>
      <c r="D29" s="200">
        <v>0</v>
      </c>
      <c r="E29" s="330">
        <v>0</v>
      </c>
      <c r="F29" s="330">
        <v>0</v>
      </c>
      <c r="G29" s="201">
        <v>0</v>
      </c>
      <c r="H29" s="200">
        <v>0</v>
      </c>
      <c r="I29" s="200">
        <v>0</v>
      </c>
      <c r="J29" s="200">
        <v>0</v>
      </c>
    </row>
    <row r="30" spans="1:10" ht="15" hidden="1" customHeight="1" x14ac:dyDescent="0.2">
      <c r="A30" s="257" t="s">
        <v>97</v>
      </c>
      <c r="B30" s="204">
        <v>0</v>
      </c>
      <c r="C30" s="204">
        <v>0</v>
      </c>
      <c r="D30" s="204">
        <v>0</v>
      </c>
      <c r="E30" s="338">
        <v>0</v>
      </c>
      <c r="F30" s="338">
        <v>0</v>
      </c>
      <c r="G30" s="206">
        <v>0</v>
      </c>
      <c r="H30" s="204">
        <v>0</v>
      </c>
      <c r="I30" s="204">
        <v>0</v>
      </c>
      <c r="J30" s="204">
        <v>0</v>
      </c>
    </row>
    <row r="31" spans="1:10" ht="15" customHeight="1" x14ac:dyDescent="0.2">
      <c r="A31" s="146" t="s">
        <v>98</v>
      </c>
      <c r="B31" s="147">
        <v>1.8</v>
      </c>
      <c r="C31" s="147">
        <v>1.8</v>
      </c>
      <c r="D31" s="147">
        <v>0</v>
      </c>
      <c r="E31" s="148">
        <v>2778</v>
      </c>
      <c r="F31" s="148">
        <v>2722</v>
      </c>
      <c r="G31" s="147">
        <v>-2</v>
      </c>
      <c r="H31" s="147">
        <v>5</v>
      </c>
      <c r="I31" s="147">
        <v>4.9000000000000004</v>
      </c>
      <c r="J31" s="147">
        <v>-2</v>
      </c>
    </row>
    <row r="32" spans="1:10" ht="15" hidden="1" customHeight="1" x14ac:dyDescent="0.2">
      <c r="A32" s="142" t="s">
        <v>99</v>
      </c>
      <c r="B32" s="143">
        <v>0</v>
      </c>
      <c r="C32" s="143">
        <v>0</v>
      </c>
      <c r="D32" s="143">
        <v>0</v>
      </c>
      <c r="E32" s="144">
        <v>0</v>
      </c>
      <c r="F32" s="144">
        <v>0</v>
      </c>
      <c r="G32" s="145">
        <v>0</v>
      </c>
      <c r="H32" s="143">
        <v>0</v>
      </c>
      <c r="I32" s="143">
        <v>0</v>
      </c>
      <c r="J32" s="143">
        <v>0</v>
      </c>
    </row>
    <row r="33" spans="1:20" ht="15" hidden="1" customHeight="1" x14ac:dyDescent="0.2">
      <c r="A33" s="142" t="s">
        <v>100</v>
      </c>
      <c r="B33" s="143">
        <v>0</v>
      </c>
      <c r="C33" s="143">
        <v>0</v>
      </c>
      <c r="D33" s="143"/>
      <c r="E33" s="144">
        <v>0</v>
      </c>
      <c r="F33" s="144">
        <v>0</v>
      </c>
      <c r="G33" s="145">
        <v>0</v>
      </c>
      <c r="H33" s="143">
        <v>0</v>
      </c>
      <c r="I33" s="143">
        <v>0</v>
      </c>
      <c r="J33" s="143">
        <v>0</v>
      </c>
    </row>
    <row r="34" spans="1:20" ht="15" hidden="1" customHeight="1" x14ac:dyDescent="0.2">
      <c r="A34" s="142" t="s">
        <v>101</v>
      </c>
      <c r="B34" s="143">
        <v>0</v>
      </c>
      <c r="C34" s="143">
        <v>0</v>
      </c>
      <c r="D34" s="143"/>
      <c r="E34" s="144">
        <v>0</v>
      </c>
      <c r="F34" s="144">
        <v>0</v>
      </c>
      <c r="G34" s="145">
        <v>0</v>
      </c>
      <c r="H34" s="143">
        <v>0</v>
      </c>
      <c r="I34" s="143">
        <v>0</v>
      </c>
      <c r="J34" s="143">
        <v>0</v>
      </c>
    </row>
    <row r="35" spans="1:20" ht="15.75" customHeight="1" x14ac:dyDescent="0.2">
      <c r="A35" s="86" t="s">
        <v>102</v>
      </c>
      <c r="B35" s="87">
        <v>1.8</v>
      </c>
      <c r="C35" s="87">
        <v>1.8</v>
      </c>
      <c r="D35" s="87">
        <v>0</v>
      </c>
      <c r="E35" s="88">
        <v>2789</v>
      </c>
      <c r="F35" s="88">
        <v>2745</v>
      </c>
      <c r="G35" s="87">
        <v>-1.6</v>
      </c>
      <c r="H35" s="87">
        <v>5</v>
      </c>
      <c r="I35" s="87">
        <v>4.9000000000000004</v>
      </c>
      <c r="J35" s="87">
        <v>-2</v>
      </c>
      <c r="K35" s="126"/>
      <c r="L35" s="126"/>
      <c r="M35" s="126"/>
      <c r="N35" s="126"/>
      <c r="O35" s="126"/>
      <c r="P35" s="126"/>
      <c r="Q35" s="126"/>
      <c r="R35" s="126"/>
      <c r="S35" s="126"/>
      <c r="T35" s="126"/>
    </row>
    <row r="36" spans="1:20" ht="15" customHeight="1" x14ac:dyDescent="0.2">
      <c r="A36" s="146" t="s">
        <v>103</v>
      </c>
      <c r="B36" s="147">
        <v>9.6</v>
      </c>
      <c r="C36" s="147">
        <v>10.1</v>
      </c>
      <c r="D36" s="147">
        <v>5.2</v>
      </c>
      <c r="E36" s="148">
        <v>3292</v>
      </c>
      <c r="F36" s="148">
        <v>2990</v>
      </c>
      <c r="G36" s="147">
        <v>-9.1999999999999993</v>
      </c>
      <c r="H36" s="147">
        <v>31.6</v>
      </c>
      <c r="I36" s="147">
        <v>30.2</v>
      </c>
      <c r="J36" s="147">
        <v>-4.4000000000000004</v>
      </c>
    </row>
    <row r="37" spans="1:20" ht="15.75" customHeight="1" x14ac:dyDescent="0.2">
      <c r="A37" s="86" t="s">
        <v>104</v>
      </c>
      <c r="B37" s="87">
        <v>6</v>
      </c>
      <c r="C37" s="87">
        <v>6.5</v>
      </c>
      <c r="D37" s="87">
        <v>8.3000000000000007</v>
      </c>
      <c r="E37" s="88">
        <v>3415</v>
      </c>
      <c r="F37" s="88">
        <v>3113</v>
      </c>
      <c r="G37" s="87">
        <v>-8.8000000000000007</v>
      </c>
      <c r="H37" s="87">
        <v>20.5</v>
      </c>
      <c r="I37" s="87">
        <v>20.2</v>
      </c>
      <c r="J37" s="87">
        <v>-1.5</v>
      </c>
      <c r="K37" s="126"/>
      <c r="L37" s="126"/>
      <c r="M37" s="126"/>
      <c r="N37" s="126"/>
      <c r="O37" s="126"/>
      <c r="P37" s="126"/>
      <c r="Q37" s="126"/>
      <c r="R37" s="126"/>
      <c r="S37" s="126"/>
      <c r="T37" s="126"/>
    </row>
    <row r="38" spans="1:20" ht="15" hidden="1" customHeight="1" x14ac:dyDescent="0.2">
      <c r="A38" s="142" t="s">
        <v>105</v>
      </c>
      <c r="B38" s="143">
        <v>0</v>
      </c>
      <c r="C38" s="143">
        <v>0</v>
      </c>
      <c r="D38" s="143">
        <v>0</v>
      </c>
      <c r="E38" s="144">
        <v>0</v>
      </c>
      <c r="F38" s="144">
        <v>0</v>
      </c>
      <c r="G38" s="145">
        <v>0</v>
      </c>
      <c r="H38" s="143">
        <v>0</v>
      </c>
      <c r="I38" s="143">
        <v>0</v>
      </c>
      <c r="J38" s="143">
        <v>0</v>
      </c>
    </row>
    <row r="39" spans="1:20" ht="15.75" customHeight="1" x14ac:dyDescent="0.2">
      <c r="A39" s="86" t="s">
        <v>106</v>
      </c>
      <c r="B39" s="87">
        <v>3.6</v>
      </c>
      <c r="C39" s="87">
        <v>3.6</v>
      </c>
      <c r="D39" s="87">
        <v>0</v>
      </c>
      <c r="E39" s="88">
        <v>3076</v>
      </c>
      <c r="F39" s="88">
        <v>2764</v>
      </c>
      <c r="G39" s="87">
        <v>-10.1</v>
      </c>
      <c r="H39" s="87">
        <v>11.1</v>
      </c>
      <c r="I39" s="87">
        <v>10</v>
      </c>
      <c r="J39" s="87">
        <v>-9.9</v>
      </c>
      <c r="K39" s="126"/>
      <c r="L39" s="126"/>
      <c r="M39" s="126"/>
      <c r="N39" s="126"/>
      <c r="O39" s="126"/>
      <c r="P39" s="126"/>
      <c r="Q39" s="126"/>
      <c r="R39" s="126"/>
      <c r="S39" s="126"/>
      <c r="T39" s="126"/>
    </row>
    <row r="40" spans="1:20" ht="15" hidden="1" customHeight="1" x14ac:dyDescent="0.2">
      <c r="A40" s="146" t="s">
        <v>107</v>
      </c>
      <c r="B40" s="147">
        <v>0</v>
      </c>
      <c r="C40" s="147">
        <v>0</v>
      </c>
      <c r="D40" s="147">
        <v>0</v>
      </c>
      <c r="E40" s="148" t="e">
        <v>#REF!</v>
      </c>
      <c r="F40" s="148">
        <v>0</v>
      </c>
      <c r="G40" s="147" t="e">
        <v>#REF!</v>
      </c>
      <c r="H40" s="147">
        <v>0</v>
      </c>
      <c r="I40" s="147">
        <v>0</v>
      </c>
      <c r="J40" s="147">
        <v>0</v>
      </c>
    </row>
    <row r="41" spans="1:20" ht="15" customHeight="1" x14ac:dyDescent="0.2">
      <c r="A41" s="146" t="s">
        <v>108</v>
      </c>
      <c r="B41" s="147">
        <v>11.4</v>
      </c>
      <c r="C41" s="147">
        <v>11.9</v>
      </c>
      <c r="D41" s="147">
        <v>4.4000000000000004</v>
      </c>
      <c r="E41" s="148">
        <v>3211</v>
      </c>
      <c r="F41" s="148">
        <v>2950</v>
      </c>
      <c r="G41" s="147">
        <v>-8.1</v>
      </c>
      <c r="H41" s="147">
        <v>36.6</v>
      </c>
      <c r="I41" s="147">
        <v>35.1</v>
      </c>
      <c r="J41" s="147">
        <v>-4.0999999999999996</v>
      </c>
    </row>
    <row r="42" spans="1:20" ht="15" customHeight="1" x14ac:dyDescent="0.2">
      <c r="A42" s="149" t="s">
        <v>58</v>
      </c>
      <c r="B42" s="150">
        <v>11.4</v>
      </c>
      <c r="C42" s="150">
        <v>11.9</v>
      </c>
      <c r="D42" s="150">
        <v>4.4000000000000004</v>
      </c>
      <c r="E42" s="151">
        <v>3211</v>
      </c>
      <c r="F42" s="151">
        <v>2950</v>
      </c>
      <c r="G42" s="150">
        <v>-8.1</v>
      </c>
      <c r="H42" s="150">
        <v>36.6</v>
      </c>
      <c r="I42" s="150">
        <v>35.1</v>
      </c>
      <c r="J42" s="150">
        <v>-4.0999999999999996</v>
      </c>
    </row>
    <row r="43" spans="1:20" ht="15.75" customHeight="1" x14ac:dyDescent="0.2">
      <c r="A43" s="190" t="s">
        <v>7</v>
      </c>
      <c r="B43" s="190"/>
      <c r="C43" s="190"/>
      <c r="D43" s="190"/>
      <c r="E43" s="190"/>
      <c r="F43" s="190"/>
      <c r="G43" s="190"/>
      <c r="H43" s="190"/>
      <c r="I43" s="190"/>
      <c r="J43" s="190"/>
    </row>
    <row r="44" spans="1:20" ht="15.75" customHeight="1" x14ac:dyDescent="0.2">
      <c r="A44" s="192" t="s">
        <v>212</v>
      </c>
    </row>
    <row r="45" spans="1:20" ht="15" customHeight="1" x14ac:dyDescent="0.2"/>
    <row r="46" spans="1:20" ht="15" customHeight="1" x14ac:dyDescent="0.2"/>
    <row r="47" spans="1:20" ht="15" customHeight="1" x14ac:dyDescent="0.2">
      <c r="B47" s="126"/>
      <c r="C47" s="126"/>
      <c r="D47" s="126"/>
      <c r="E47" s="126"/>
      <c r="F47" s="126"/>
      <c r="G47" s="126"/>
      <c r="H47" s="126"/>
      <c r="I47" s="126"/>
      <c r="J47" s="126"/>
    </row>
    <row r="48" spans="1:20" ht="15" customHeight="1" x14ac:dyDescent="0.2">
      <c r="B48" s="126"/>
      <c r="C48" s="126"/>
      <c r="D48" s="126"/>
      <c r="E48" s="126"/>
      <c r="F48" s="126"/>
      <c r="G48" s="126"/>
      <c r="H48" s="126"/>
      <c r="I48" s="126"/>
      <c r="J48" s="126"/>
    </row>
    <row r="49" spans="2:10" ht="15" customHeight="1" x14ac:dyDescent="0.2">
      <c r="B49" s="126"/>
      <c r="C49" s="126"/>
      <c r="D49" s="126"/>
      <c r="E49" s="126"/>
      <c r="F49" s="126"/>
      <c r="G49" s="126"/>
      <c r="H49" s="126"/>
      <c r="I49" s="126"/>
      <c r="J49" s="126"/>
    </row>
    <row r="50" spans="2:10" ht="15" customHeight="1" x14ac:dyDescent="0.2">
      <c r="B50" s="126"/>
      <c r="C50" s="126"/>
      <c r="D50" s="126"/>
      <c r="E50" s="126"/>
      <c r="F50" s="126"/>
      <c r="G50" s="126"/>
      <c r="H50" s="126"/>
      <c r="I50" s="126"/>
      <c r="J50" s="126"/>
    </row>
    <row r="51" spans="2:10" ht="15" customHeight="1" x14ac:dyDescent="0.2">
      <c r="B51" s="126"/>
      <c r="C51" s="126"/>
      <c r="D51" s="126"/>
      <c r="E51" s="126"/>
      <c r="F51" s="126"/>
      <c r="G51" s="126"/>
      <c r="H51" s="126"/>
      <c r="I51" s="126"/>
      <c r="J51" s="126"/>
    </row>
    <row r="52" spans="2:10" ht="15" customHeight="1" x14ac:dyDescent="0.2">
      <c r="B52" s="126"/>
      <c r="C52" s="126"/>
      <c r="D52" s="126"/>
      <c r="E52" s="126"/>
      <c r="F52" s="126"/>
      <c r="G52" s="126"/>
      <c r="H52" s="126"/>
      <c r="I52" s="126"/>
      <c r="J52" s="126"/>
    </row>
    <row r="53" spans="2:10" ht="15" customHeight="1" x14ac:dyDescent="0.2"/>
    <row r="54" spans="2:10" ht="15" customHeight="1" x14ac:dyDescent="0.2"/>
    <row r="55" spans="2:10" ht="15" customHeight="1" x14ac:dyDescent="0.2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gridLines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65"/>
  <sheetViews>
    <sheetView showGridLines="0" topLeftCell="A4" zoomScale="85" zoomScaleNormal="85" workbookViewId="0">
      <selection activeCell="H36" sqref="H36"/>
    </sheetView>
  </sheetViews>
  <sheetFormatPr defaultColWidth="12.42578125" defaultRowHeight="11.25" customHeight="1" x14ac:dyDescent="0.2"/>
  <cols>
    <col min="1" max="1" width="18.42578125" style="345" customWidth="1"/>
    <col min="2" max="2" width="7.42578125" style="345" bestFit="1" customWidth="1"/>
    <col min="3" max="3" width="7" style="345" bestFit="1" customWidth="1"/>
    <col min="4" max="4" width="10.42578125" style="345" bestFit="1" customWidth="1"/>
    <col min="5" max="5" width="12.42578125" style="345" bestFit="1" customWidth="1"/>
    <col min="6" max="7" width="14.42578125" style="345" bestFit="1" customWidth="1"/>
    <col min="8" max="8" width="11.42578125" style="345" bestFit="1" customWidth="1"/>
    <col min="9" max="9" width="14.42578125" style="345" bestFit="1" customWidth="1"/>
    <col min="10" max="10" width="10.42578125" style="345" customWidth="1"/>
    <col min="11" max="11" width="10.42578125" style="345" bestFit="1" customWidth="1"/>
    <col min="12" max="16" width="9.42578125" style="345" customWidth="1"/>
    <col min="17" max="258" width="12.42578125" style="345" customWidth="1"/>
  </cols>
  <sheetData>
    <row r="1" spans="1:14" ht="41.25" customHeight="1" x14ac:dyDescent="0.2">
      <c r="A1" s="534"/>
      <c r="B1" s="534"/>
      <c r="C1" s="534"/>
      <c r="D1" s="534"/>
      <c r="E1" s="534"/>
      <c r="F1" s="534"/>
      <c r="G1" s="534"/>
      <c r="H1" s="534"/>
      <c r="I1" s="534"/>
      <c r="J1" s="534"/>
      <c r="K1" s="534"/>
    </row>
    <row r="2" spans="1:14" ht="14.25" customHeight="1" x14ac:dyDescent="0.2">
      <c r="A2" s="535" t="s">
        <v>58</v>
      </c>
      <c r="B2" s="535"/>
      <c r="C2" s="535"/>
      <c r="D2" s="535"/>
      <c r="E2" s="535"/>
      <c r="F2" s="535"/>
      <c r="G2" s="535"/>
      <c r="H2" s="535"/>
      <c r="I2" s="535"/>
      <c r="J2" s="535"/>
      <c r="K2" s="535"/>
    </row>
    <row r="3" spans="1:14" ht="20.25" customHeight="1" x14ac:dyDescent="0.2">
      <c r="A3" s="535" t="s">
        <v>127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</row>
    <row r="4" spans="1:14" ht="3" customHeight="1" x14ac:dyDescent="0.2">
      <c r="H4" s="536"/>
      <c r="I4" s="536"/>
      <c r="J4" s="536"/>
      <c r="K4" s="536"/>
    </row>
    <row r="5" spans="1:14" ht="39" customHeight="1" x14ac:dyDescent="0.2">
      <c r="A5" s="346" t="s">
        <v>9</v>
      </c>
      <c r="B5" s="537" t="s">
        <v>128</v>
      </c>
      <c r="C5" s="537"/>
      <c r="D5" s="348" t="s">
        <v>129</v>
      </c>
      <c r="E5" s="347" t="s">
        <v>130</v>
      </c>
      <c r="F5" s="348" t="s">
        <v>131</v>
      </c>
      <c r="G5" s="348" t="s">
        <v>132</v>
      </c>
      <c r="H5" s="349" t="s">
        <v>133</v>
      </c>
      <c r="I5" s="350" t="s">
        <v>134</v>
      </c>
      <c r="J5" s="348" t="s">
        <v>135</v>
      </c>
      <c r="K5" s="348" t="s">
        <v>136</v>
      </c>
      <c r="L5" s="351"/>
    </row>
    <row r="6" spans="1:14" ht="14.25" customHeight="1" x14ac:dyDescent="0.2">
      <c r="A6" s="532" t="s">
        <v>57</v>
      </c>
      <c r="B6" s="527" t="s">
        <v>137</v>
      </c>
      <c r="C6" s="528"/>
      <c r="D6" s="352">
        <v>1427.2999999999995</v>
      </c>
      <c r="E6" s="353">
        <v>3001.6</v>
      </c>
      <c r="F6" s="353">
        <v>2.2000000000000002</v>
      </c>
      <c r="G6" s="354">
        <v>4431.0999999999995</v>
      </c>
      <c r="H6" s="353">
        <v>690</v>
      </c>
      <c r="I6" s="353">
        <v>2125.4</v>
      </c>
      <c r="J6" s="353">
        <v>2815.4</v>
      </c>
      <c r="K6" s="354">
        <v>1615.6999999999994</v>
      </c>
    </row>
    <row r="7" spans="1:14" ht="14.25" customHeight="1" x14ac:dyDescent="0.2">
      <c r="A7" s="532"/>
      <c r="B7" s="527" t="s">
        <v>138</v>
      </c>
      <c r="C7" s="528"/>
      <c r="D7" s="352">
        <v>1615.6999999999994</v>
      </c>
      <c r="E7" s="355">
        <v>2359</v>
      </c>
      <c r="F7" s="353">
        <v>4.5999999999999996</v>
      </c>
      <c r="G7" s="354">
        <v>3979.2999999999993</v>
      </c>
      <c r="H7" s="353">
        <v>720</v>
      </c>
      <c r="I7" s="353">
        <v>2016.6</v>
      </c>
      <c r="J7" s="353">
        <v>2736.6</v>
      </c>
      <c r="K7" s="354">
        <v>1242.6999999999994</v>
      </c>
    </row>
    <row r="8" spans="1:14" ht="14.25" customHeight="1" x14ac:dyDescent="0.2">
      <c r="A8" s="532"/>
      <c r="B8" s="527" t="s">
        <v>139</v>
      </c>
      <c r="C8" s="528"/>
      <c r="D8" s="352">
        <v>1242.6999999999994</v>
      </c>
      <c r="E8" s="355">
        <v>2554.1000000000004</v>
      </c>
      <c r="F8" s="353">
        <v>2.2999999999999998</v>
      </c>
      <c r="G8" s="354">
        <v>3799.1</v>
      </c>
      <c r="H8" s="353">
        <v>675</v>
      </c>
      <c r="I8" s="353">
        <v>1803.7</v>
      </c>
      <c r="J8" s="353">
        <v>2478.6999999999998</v>
      </c>
      <c r="K8" s="354">
        <v>1320.3999999999999</v>
      </c>
    </row>
    <row r="9" spans="1:14" ht="14.25" customHeight="1" x14ac:dyDescent="0.2">
      <c r="A9" s="532"/>
      <c r="B9" s="529" t="s">
        <v>140</v>
      </c>
      <c r="C9" s="530"/>
      <c r="D9" s="356">
        <v>1320.3999999999999</v>
      </c>
      <c r="E9" s="355">
        <v>3173.3000000000006</v>
      </c>
      <c r="F9" s="357">
        <v>1.7</v>
      </c>
      <c r="G9" s="354">
        <v>4495.4000000000005</v>
      </c>
      <c r="H9" s="353">
        <v>710</v>
      </c>
      <c r="I9" s="353">
        <v>1618.2</v>
      </c>
      <c r="J9" s="353">
        <v>2328.1999999999998</v>
      </c>
      <c r="K9" s="354">
        <v>2167.2000000000007</v>
      </c>
    </row>
    <row r="10" spans="1:14" ht="14.25" customHeight="1" x14ac:dyDescent="0.2">
      <c r="A10" s="532"/>
      <c r="B10" s="527" t="s">
        <v>141</v>
      </c>
      <c r="C10" s="528"/>
      <c r="D10" s="353">
        <v>2167.2000000000007</v>
      </c>
      <c r="E10" s="355">
        <v>3701.1000000000004</v>
      </c>
      <c r="F10" s="353">
        <v>1.1000000000000001</v>
      </c>
      <c r="G10" s="354">
        <v>5869.4000000000015</v>
      </c>
      <c r="H10" s="353">
        <v>695</v>
      </c>
      <c r="I10" s="353">
        <v>2774.3</v>
      </c>
      <c r="J10" s="353">
        <v>3469.3</v>
      </c>
      <c r="K10" s="354">
        <v>2400.1000000000013</v>
      </c>
      <c r="N10" s="358"/>
    </row>
    <row r="11" spans="1:14" ht="14.25" customHeight="1" x14ac:dyDescent="0.2">
      <c r="A11" s="532"/>
      <c r="B11" s="529" t="s">
        <v>142</v>
      </c>
      <c r="C11" s="530"/>
      <c r="D11" s="356">
        <v>2400.1308200000008</v>
      </c>
      <c r="E11" s="355">
        <v>4081.5</v>
      </c>
      <c r="F11" s="357">
        <v>0.82599999999999996</v>
      </c>
      <c r="G11" s="354">
        <v>6482.4568200000003</v>
      </c>
      <c r="H11" s="353">
        <v>720</v>
      </c>
      <c r="I11" s="353">
        <v>3025.9849089999998</v>
      </c>
      <c r="J11" s="353">
        <v>3745.9849089999998</v>
      </c>
      <c r="K11" s="354">
        <v>2736.4719110000005</v>
      </c>
      <c r="N11" s="358"/>
    </row>
    <row r="12" spans="1:14" ht="14.25" customHeight="1" x14ac:dyDescent="0.2">
      <c r="A12" s="532"/>
      <c r="B12" s="522" t="s">
        <v>143</v>
      </c>
      <c r="C12" s="362" t="s">
        <v>209</v>
      </c>
      <c r="D12" s="359">
        <v>2736.4260000000013</v>
      </c>
      <c r="E12" s="363">
        <v>4084.6</v>
      </c>
      <c r="F12" s="360">
        <v>1</v>
      </c>
      <c r="G12" s="354">
        <v>6822.0260000000017</v>
      </c>
      <c r="H12" s="360">
        <v>735</v>
      </c>
      <c r="I12" s="360">
        <v>3384</v>
      </c>
      <c r="J12" s="353">
        <v>4119</v>
      </c>
      <c r="K12" s="354">
        <v>2703.0260000000017</v>
      </c>
      <c r="N12" s="358"/>
    </row>
    <row r="13" spans="1:14" ht="15" customHeight="1" x14ac:dyDescent="0.2">
      <c r="A13" s="533"/>
      <c r="B13" s="523"/>
      <c r="C13" s="362" t="str">
        <f>'[1]Entrada de Dados'!$B$19</f>
        <v>set/26</v>
      </c>
      <c r="D13" s="364">
        <v>2736.4763430000012</v>
      </c>
      <c r="E13" s="365">
        <v>4143.8</v>
      </c>
      <c r="F13" s="366">
        <v>1</v>
      </c>
      <c r="G13" s="366">
        <v>6881.2763430000014</v>
      </c>
      <c r="H13" s="366">
        <v>740</v>
      </c>
      <c r="I13" s="366">
        <v>3418</v>
      </c>
      <c r="J13" s="366">
        <v>4158</v>
      </c>
      <c r="K13" s="366">
        <v>2723.2763430000014</v>
      </c>
      <c r="N13" s="358"/>
    </row>
    <row r="14" spans="1:14" ht="14.25" customHeight="1" x14ac:dyDescent="0.2">
      <c r="A14" s="524" t="s">
        <v>144</v>
      </c>
      <c r="B14" s="527" t="s">
        <v>137</v>
      </c>
      <c r="C14" s="528"/>
      <c r="D14" s="368">
        <v>187.60000000000286</v>
      </c>
      <c r="E14" s="354">
        <v>11183.399999999998</v>
      </c>
      <c r="F14" s="354">
        <v>1351.1</v>
      </c>
      <c r="G14" s="354">
        <v>12722.1</v>
      </c>
      <c r="H14" s="354">
        <v>10205.700000000001</v>
      </c>
      <c r="I14" s="354">
        <v>1762.4</v>
      </c>
      <c r="J14" s="354">
        <v>11968.1</v>
      </c>
      <c r="K14" s="354">
        <v>753.99999999999955</v>
      </c>
    </row>
    <row r="15" spans="1:14" ht="14.25" customHeight="1" x14ac:dyDescent="0.2">
      <c r="A15" s="525"/>
      <c r="B15" s="527" t="s">
        <v>138</v>
      </c>
      <c r="C15" s="528"/>
      <c r="D15" s="368">
        <v>753.99999999999955</v>
      </c>
      <c r="E15" s="354">
        <v>11766.400000000001</v>
      </c>
      <c r="F15" s="354">
        <v>895.1</v>
      </c>
      <c r="G15" s="354">
        <v>13415.500000000002</v>
      </c>
      <c r="H15" s="354">
        <v>10802.1</v>
      </c>
      <c r="I15" s="354">
        <v>1311.1</v>
      </c>
      <c r="J15" s="354">
        <v>12113.2</v>
      </c>
      <c r="K15" s="354">
        <v>1302.3000000000015</v>
      </c>
    </row>
    <row r="16" spans="1:14" ht="14.25" customHeight="1" x14ac:dyDescent="0.2">
      <c r="A16" s="525"/>
      <c r="B16" s="527" t="s">
        <v>139</v>
      </c>
      <c r="C16" s="528"/>
      <c r="D16" s="368">
        <v>1302.3000000000015</v>
      </c>
      <c r="E16" s="354">
        <v>10780.5</v>
      </c>
      <c r="F16" s="354">
        <v>1337.3</v>
      </c>
      <c r="G16" s="354">
        <v>13420.1</v>
      </c>
      <c r="H16" s="354">
        <v>10506.4</v>
      </c>
      <c r="I16" s="354">
        <v>2067.1</v>
      </c>
      <c r="J16" s="354">
        <v>12573.5</v>
      </c>
      <c r="K16" s="354">
        <v>846.60000000000082</v>
      </c>
    </row>
    <row r="17" spans="1:13" ht="14.25" customHeight="1" x14ac:dyDescent="0.2">
      <c r="A17" s="525"/>
      <c r="B17" s="529" t="s">
        <v>140</v>
      </c>
      <c r="C17" s="530"/>
      <c r="D17" s="369">
        <v>846.60000000000082</v>
      </c>
      <c r="E17" s="355">
        <v>10031.799999999999</v>
      </c>
      <c r="F17" s="354">
        <v>1550.3</v>
      </c>
      <c r="G17" s="354">
        <v>12428.699999999999</v>
      </c>
      <c r="H17" s="354">
        <v>10324.1</v>
      </c>
      <c r="I17" s="354">
        <v>1696.7</v>
      </c>
      <c r="J17" s="354">
        <v>12020.800000000001</v>
      </c>
      <c r="K17" s="354">
        <v>407.8999999999985</v>
      </c>
    </row>
    <row r="18" spans="1:13" ht="14.25" customHeight="1" x14ac:dyDescent="0.2">
      <c r="A18" s="525"/>
      <c r="B18" s="527" t="s">
        <v>141</v>
      </c>
      <c r="C18" s="528"/>
      <c r="D18" s="369">
        <v>407.8999999999985</v>
      </c>
      <c r="E18" s="355">
        <v>10577</v>
      </c>
      <c r="F18" s="354">
        <v>1421.5</v>
      </c>
      <c r="G18" s="354">
        <v>12406.399999999998</v>
      </c>
      <c r="H18" s="354">
        <v>10547.4</v>
      </c>
      <c r="I18" s="354">
        <v>1362.2</v>
      </c>
      <c r="J18" s="354">
        <v>11909.6</v>
      </c>
      <c r="K18" s="354">
        <v>496.79999999999814</v>
      </c>
      <c r="M18" s="358"/>
    </row>
    <row r="19" spans="1:13" ht="14.25" customHeight="1" x14ac:dyDescent="0.2">
      <c r="A19" s="525"/>
      <c r="B19" s="529" t="s">
        <v>142</v>
      </c>
      <c r="C19" s="530"/>
      <c r="D19" s="369">
        <v>496.79999999999814</v>
      </c>
      <c r="E19" s="363">
        <v>12757.7</v>
      </c>
      <c r="F19" s="361">
        <v>1317.7</v>
      </c>
      <c r="G19" s="354">
        <v>14572.199999999999</v>
      </c>
      <c r="H19" s="361">
        <v>10500</v>
      </c>
      <c r="I19" s="361">
        <v>1883.8</v>
      </c>
      <c r="J19" s="361">
        <v>12383.8</v>
      </c>
      <c r="K19" s="361">
        <v>2188.3999999999987</v>
      </c>
      <c r="M19" s="358"/>
    </row>
    <row r="20" spans="1:13" ht="14.25" customHeight="1" x14ac:dyDescent="0.2">
      <c r="A20" s="525"/>
      <c r="B20" s="522" t="s">
        <v>143</v>
      </c>
      <c r="C20" s="362" t="s">
        <v>209</v>
      </c>
      <c r="D20" s="370">
        <v>2188.3999999999987</v>
      </c>
      <c r="E20" s="363">
        <v>11082.2</v>
      </c>
      <c r="F20" s="361">
        <v>1300</v>
      </c>
      <c r="G20" s="361">
        <v>14570.599999999999</v>
      </c>
      <c r="H20" s="361">
        <v>10800</v>
      </c>
      <c r="I20" s="361">
        <v>2100</v>
      </c>
      <c r="J20" s="361">
        <v>12900</v>
      </c>
      <c r="K20" s="361">
        <v>1670.5999999999985</v>
      </c>
      <c r="M20" s="358"/>
    </row>
    <row r="21" spans="1:13" ht="14.25" customHeight="1" x14ac:dyDescent="0.2">
      <c r="A21" s="526"/>
      <c r="B21" s="523"/>
      <c r="C21" s="362" t="str">
        <f>'[1]Entrada de Dados'!$B$19</f>
        <v>set/26</v>
      </c>
      <c r="D21" s="364">
        <v>2188.3999999999987</v>
      </c>
      <c r="E21" s="365">
        <v>11076.2</v>
      </c>
      <c r="F21" s="366">
        <v>1300</v>
      </c>
      <c r="G21" s="366">
        <v>14564.599999999999</v>
      </c>
      <c r="H21" s="366">
        <v>10800</v>
      </c>
      <c r="I21" s="366">
        <v>1953.4</v>
      </c>
      <c r="J21" s="366">
        <v>12753.4</v>
      </c>
      <c r="K21" s="366">
        <v>1811.1999999999985</v>
      </c>
      <c r="M21" s="358"/>
    </row>
    <row r="22" spans="1:13" ht="14.25" customHeight="1" x14ac:dyDescent="0.2">
      <c r="A22" s="524" t="s">
        <v>145</v>
      </c>
      <c r="B22" s="527" t="s">
        <v>137</v>
      </c>
      <c r="C22" s="528"/>
      <c r="D22" s="371">
        <v>259.70000000000016</v>
      </c>
      <c r="E22" s="354">
        <v>3222.1</v>
      </c>
      <c r="F22" s="354">
        <v>113.6</v>
      </c>
      <c r="G22" s="354">
        <v>3595.4</v>
      </c>
      <c r="H22" s="354">
        <v>3150</v>
      </c>
      <c r="I22" s="354">
        <v>176.7</v>
      </c>
      <c r="J22" s="354">
        <v>3326.7</v>
      </c>
      <c r="K22" s="354">
        <v>268.7000000000001</v>
      </c>
    </row>
    <row r="23" spans="1:13" ht="14.25" customHeight="1" x14ac:dyDescent="0.2">
      <c r="A23" s="525"/>
      <c r="B23" s="527" t="s">
        <v>138</v>
      </c>
      <c r="C23" s="528"/>
      <c r="D23" s="371">
        <v>268.7000000000001</v>
      </c>
      <c r="E23" s="354">
        <v>2893.8</v>
      </c>
      <c r="F23" s="354">
        <v>83.1</v>
      </c>
      <c r="G23" s="354">
        <v>3245.6000000000004</v>
      </c>
      <c r="H23" s="354">
        <v>2900</v>
      </c>
      <c r="I23" s="354">
        <v>223.7</v>
      </c>
      <c r="J23" s="354">
        <v>3123.7</v>
      </c>
      <c r="K23" s="354">
        <v>121.90000000000038</v>
      </c>
    </row>
    <row r="24" spans="1:13" ht="14.25" customHeight="1" x14ac:dyDescent="0.2">
      <c r="A24" s="525"/>
      <c r="B24" s="527" t="s">
        <v>139</v>
      </c>
      <c r="C24" s="528"/>
      <c r="D24" s="371">
        <v>121.90000000000038</v>
      </c>
      <c r="E24" s="372">
        <v>2990.2</v>
      </c>
      <c r="F24" s="354">
        <v>76.099999999999994</v>
      </c>
      <c r="G24" s="354">
        <v>3188.2000000000003</v>
      </c>
      <c r="H24" s="354">
        <v>2850</v>
      </c>
      <c r="I24" s="354">
        <v>136.1</v>
      </c>
      <c r="J24" s="354">
        <v>2986.1</v>
      </c>
      <c r="K24" s="354">
        <v>202.10000000000028</v>
      </c>
    </row>
    <row r="25" spans="1:13" ht="14.25" customHeight="1" x14ac:dyDescent="0.2">
      <c r="A25" s="525"/>
      <c r="B25" s="529" t="s">
        <v>140</v>
      </c>
      <c r="C25" s="530"/>
      <c r="D25" s="371">
        <v>202.10000000000028</v>
      </c>
      <c r="E25" s="354">
        <v>3036.7</v>
      </c>
      <c r="F25" s="354">
        <v>69</v>
      </c>
      <c r="G25" s="354">
        <v>3307.8</v>
      </c>
      <c r="H25" s="354">
        <v>2850</v>
      </c>
      <c r="I25" s="354">
        <v>139</v>
      </c>
      <c r="J25" s="353">
        <v>2989</v>
      </c>
      <c r="K25" s="354">
        <v>318.80000000000018</v>
      </c>
    </row>
    <row r="26" spans="1:13" ht="14.25" customHeight="1" x14ac:dyDescent="0.2">
      <c r="A26" s="525"/>
      <c r="B26" s="527" t="s">
        <v>141</v>
      </c>
      <c r="C26" s="528"/>
      <c r="D26" s="371">
        <v>318.80000000000018</v>
      </c>
      <c r="E26" s="354">
        <v>3198.6</v>
      </c>
      <c r="F26" s="354">
        <v>22.2</v>
      </c>
      <c r="G26" s="354">
        <v>3539.6</v>
      </c>
      <c r="H26" s="354">
        <v>2800</v>
      </c>
      <c r="I26" s="354">
        <v>343.6</v>
      </c>
      <c r="J26" s="353">
        <v>3143.6</v>
      </c>
      <c r="K26" s="354">
        <v>395.99999999999989</v>
      </c>
    </row>
    <row r="27" spans="1:13" ht="14.25" customHeight="1" x14ac:dyDescent="0.2">
      <c r="A27" s="525"/>
      <c r="B27" s="529" t="s">
        <v>142</v>
      </c>
      <c r="C27" s="530"/>
      <c r="D27" s="371">
        <v>395.99999999999989</v>
      </c>
      <c r="E27" s="355">
        <v>3059.9</v>
      </c>
      <c r="F27" s="354">
        <v>13.2</v>
      </c>
      <c r="G27" s="354">
        <v>3469.1</v>
      </c>
      <c r="H27" s="354">
        <v>2700</v>
      </c>
      <c r="I27" s="354">
        <v>533.20000000000005</v>
      </c>
      <c r="J27" s="353">
        <v>3233.2</v>
      </c>
      <c r="K27" s="354">
        <v>235.89999999999986</v>
      </c>
    </row>
    <row r="28" spans="1:13" ht="14.25" customHeight="1" x14ac:dyDescent="0.2">
      <c r="A28" s="525"/>
      <c r="B28" s="522" t="s">
        <v>143</v>
      </c>
      <c r="C28" s="362" t="s">
        <v>209</v>
      </c>
      <c r="D28" s="371">
        <v>235.89999999999986</v>
      </c>
      <c r="E28" s="374">
        <v>2961.2000000000003</v>
      </c>
      <c r="F28" s="361">
        <v>32.6</v>
      </c>
      <c r="G28" s="354">
        <v>3229.7000000000003</v>
      </c>
      <c r="H28" s="361">
        <v>2700</v>
      </c>
      <c r="I28" s="361">
        <v>342.5</v>
      </c>
      <c r="J28" s="353">
        <v>3042.5</v>
      </c>
      <c r="K28" s="354">
        <v>187.20000000000027</v>
      </c>
    </row>
    <row r="29" spans="1:13" ht="14.25" customHeight="1" x14ac:dyDescent="0.2">
      <c r="A29" s="526"/>
      <c r="B29" s="523"/>
      <c r="C29" s="362" t="str">
        <f>'[1]Entrada de Dados'!$B$19</f>
        <v>set/26</v>
      </c>
      <c r="D29" s="543">
        <v>235.89999999999986</v>
      </c>
      <c r="E29" s="365">
        <v>2950</v>
      </c>
      <c r="F29" s="366">
        <v>52.6</v>
      </c>
      <c r="G29" s="366">
        <v>3238.4999999999995</v>
      </c>
      <c r="H29" s="366">
        <v>2680</v>
      </c>
      <c r="I29" s="366">
        <v>460.4</v>
      </c>
      <c r="J29" s="366">
        <v>3140.4</v>
      </c>
      <c r="K29" s="366">
        <v>98.099999999999568</v>
      </c>
    </row>
    <row r="30" spans="1:13" ht="14.25" customHeight="1" x14ac:dyDescent="0.2">
      <c r="A30" s="524" t="s">
        <v>146</v>
      </c>
      <c r="B30" s="527" t="s">
        <v>137</v>
      </c>
      <c r="C30" s="528"/>
      <c r="D30" s="544">
        <v>13186.613397999994</v>
      </c>
      <c r="E30" s="354">
        <v>102586.40000000001</v>
      </c>
      <c r="F30" s="354">
        <v>1453.4</v>
      </c>
      <c r="G30" s="354">
        <v>117226.413398</v>
      </c>
      <c r="H30" s="354">
        <v>67021.399999999994</v>
      </c>
      <c r="I30" s="354">
        <v>34892.906833000001</v>
      </c>
      <c r="J30" s="354">
        <v>101914.306833</v>
      </c>
      <c r="K30" s="354">
        <v>15312.106565000009</v>
      </c>
    </row>
    <row r="31" spans="1:13" ht="14.25" customHeight="1" x14ac:dyDescent="0.2">
      <c r="A31" s="525"/>
      <c r="B31" s="527" t="s">
        <v>138</v>
      </c>
      <c r="C31" s="528"/>
      <c r="D31" s="371">
        <v>15312.106565000009</v>
      </c>
      <c r="E31" s="375">
        <v>87096.8</v>
      </c>
      <c r="F31" s="354">
        <v>3090.7151669999998</v>
      </c>
      <c r="G31" s="354">
        <v>105499.62173200001</v>
      </c>
      <c r="H31" s="354">
        <v>71168.600000000006</v>
      </c>
      <c r="I31" s="354">
        <v>20815.735513</v>
      </c>
      <c r="J31" s="354">
        <v>91984.335512999998</v>
      </c>
      <c r="K31" s="354">
        <v>13515.286219000009</v>
      </c>
      <c r="M31" s="376"/>
    </row>
    <row r="32" spans="1:13" ht="14.25" customHeight="1" x14ac:dyDescent="0.2">
      <c r="A32" s="525"/>
      <c r="B32" s="527" t="s">
        <v>139</v>
      </c>
      <c r="C32" s="528"/>
      <c r="D32" s="371">
        <v>13515.286219000009</v>
      </c>
      <c r="E32" s="354">
        <v>113130.39999999998</v>
      </c>
      <c r="F32" s="354">
        <v>2615.1</v>
      </c>
      <c r="G32" s="354">
        <v>129260.786219</v>
      </c>
      <c r="H32" s="354">
        <v>74534.600000000006</v>
      </c>
      <c r="I32" s="354">
        <v>46630.3</v>
      </c>
      <c r="J32" s="354">
        <v>121164.90000000001</v>
      </c>
      <c r="K32" s="354">
        <v>8095.8862189999927</v>
      </c>
    </row>
    <row r="33" spans="1:11" ht="14.25" customHeight="1" x14ac:dyDescent="0.2">
      <c r="A33" s="525"/>
      <c r="B33" s="529" t="s">
        <v>140</v>
      </c>
      <c r="C33" s="530"/>
      <c r="D33" s="371">
        <v>8095.8862189999927</v>
      </c>
      <c r="E33" s="355">
        <v>131892.6</v>
      </c>
      <c r="F33" s="354">
        <v>1313.2</v>
      </c>
      <c r="G33" s="354">
        <v>141301.68621900002</v>
      </c>
      <c r="H33" s="354">
        <v>79465.982654349558</v>
      </c>
      <c r="I33" s="354">
        <v>54634.400000000001</v>
      </c>
      <c r="J33" s="354">
        <v>134100.38265434955</v>
      </c>
      <c r="K33" s="354">
        <v>7201.303564650465</v>
      </c>
    </row>
    <row r="34" spans="1:11" ht="14.25" customHeight="1" x14ac:dyDescent="0.2">
      <c r="A34" s="525"/>
      <c r="B34" s="522" t="s">
        <v>141</v>
      </c>
      <c r="C34" s="531"/>
      <c r="D34" s="371">
        <v>7201.303564650465</v>
      </c>
      <c r="E34" s="355">
        <v>115534.6</v>
      </c>
      <c r="F34" s="354">
        <v>1644.7</v>
      </c>
      <c r="G34" s="354">
        <v>124380.60356465048</v>
      </c>
      <c r="H34" s="354">
        <v>84106.161585413938</v>
      </c>
      <c r="I34" s="354">
        <v>38500.9</v>
      </c>
      <c r="J34" s="354">
        <v>122607.06158541393</v>
      </c>
      <c r="K34" s="354">
        <v>1773.5419792365356</v>
      </c>
    </row>
    <row r="35" spans="1:11" ht="14.25" customHeight="1" x14ac:dyDescent="0.2">
      <c r="A35" s="525"/>
      <c r="B35" s="529" t="s">
        <v>142</v>
      </c>
      <c r="C35" s="530"/>
      <c r="D35" s="373">
        <v>1773.5419792365356</v>
      </c>
      <c r="E35" s="355">
        <v>141157.6</v>
      </c>
      <c r="F35" s="361">
        <v>1845.8</v>
      </c>
      <c r="G35" s="361">
        <v>144776.94197923652</v>
      </c>
      <c r="H35" s="361">
        <v>91081.8</v>
      </c>
      <c r="I35" s="361">
        <v>41631.5</v>
      </c>
      <c r="J35" s="361">
        <v>132713.29999999999</v>
      </c>
      <c r="K35" s="361">
        <v>12063.64197923652</v>
      </c>
    </row>
    <row r="36" spans="1:11" ht="14.25" customHeight="1" x14ac:dyDescent="0.2">
      <c r="A36" s="525"/>
      <c r="B36" s="522" t="s">
        <v>143</v>
      </c>
      <c r="C36" s="362" t="s">
        <v>209</v>
      </c>
      <c r="D36" s="373">
        <v>12063.64197923652</v>
      </c>
      <c r="E36" s="363">
        <v>142955</v>
      </c>
      <c r="F36" s="361">
        <v>1700</v>
      </c>
      <c r="G36" s="361">
        <v>156718.6419792365</v>
      </c>
      <c r="H36" s="361">
        <v>95041.4</v>
      </c>
      <c r="I36" s="361">
        <v>46500</v>
      </c>
      <c r="J36" s="361">
        <v>141541.4</v>
      </c>
      <c r="K36" s="361">
        <v>15177.241979236511</v>
      </c>
    </row>
    <row r="37" spans="1:11" ht="14.25" customHeight="1" x14ac:dyDescent="0.2">
      <c r="A37" s="526"/>
      <c r="B37" s="523"/>
      <c r="C37" s="362" t="str">
        <f>'[1]Entrada de Dados'!$B$19</f>
        <v>set/26</v>
      </c>
      <c r="D37" s="364">
        <v>12063.64197923652</v>
      </c>
      <c r="E37" s="365">
        <v>144009.60000000001</v>
      </c>
      <c r="F37" s="366">
        <v>1700</v>
      </c>
      <c r="G37" s="366">
        <v>157773.24197923654</v>
      </c>
      <c r="H37" s="366">
        <v>98203</v>
      </c>
      <c r="I37" s="366">
        <v>43916.2</v>
      </c>
      <c r="J37" s="366">
        <v>142119.20000000001</v>
      </c>
      <c r="K37" s="366">
        <v>15654.041979236543</v>
      </c>
    </row>
    <row r="38" spans="1:11" ht="14.25" customHeight="1" x14ac:dyDescent="0.2">
      <c r="A38" s="515" t="s">
        <v>52</v>
      </c>
      <c r="B38" s="518" t="s">
        <v>147</v>
      </c>
      <c r="C38" s="519"/>
      <c r="D38" s="371">
        <v>2238.3999999999987</v>
      </c>
      <c r="E38" s="372">
        <v>6234.6</v>
      </c>
      <c r="F38" s="372">
        <v>6007.7979999999998</v>
      </c>
      <c r="G38" s="354">
        <v>14480.797999999999</v>
      </c>
      <c r="H38" s="372">
        <v>11599</v>
      </c>
      <c r="I38" s="372">
        <v>823.13300000000004</v>
      </c>
      <c r="J38" s="372">
        <v>12422.133</v>
      </c>
      <c r="K38" s="354">
        <v>2058.6649999999991</v>
      </c>
    </row>
    <row r="39" spans="1:11" ht="14.25" customHeight="1" x14ac:dyDescent="0.2">
      <c r="A39" s="516"/>
      <c r="B39" s="518" t="s">
        <v>148</v>
      </c>
      <c r="C39" s="519"/>
      <c r="D39" s="371">
        <v>2058.6649999999991</v>
      </c>
      <c r="E39" s="354">
        <v>7679.4</v>
      </c>
      <c r="F39" s="372">
        <v>6079.0259999999998</v>
      </c>
      <c r="G39" s="354">
        <v>15817.090999999999</v>
      </c>
      <c r="H39" s="372">
        <v>11849.8</v>
      </c>
      <c r="I39" s="372">
        <v>3028.2559999999999</v>
      </c>
      <c r="J39" s="372">
        <v>14878.055999999999</v>
      </c>
      <c r="K39" s="354">
        <v>939.0349999999994</v>
      </c>
    </row>
    <row r="40" spans="1:11" ht="14.25" customHeight="1" x14ac:dyDescent="0.2">
      <c r="A40" s="516"/>
      <c r="B40" s="518" t="s">
        <v>149</v>
      </c>
      <c r="C40" s="519"/>
      <c r="D40" s="371">
        <v>939.0349999999994</v>
      </c>
      <c r="E40" s="354">
        <v>10554.4</v>
      </c>
      <c r="F40" s="372">
        <v>4514.241</v>
      </c>
      <c r="G40" s="354">
        <v>16007.675999999999</v>
      </c>
      <c r="H40" s="372">
        <v>11894.1</v>
      </c>
      <c r="I40" s="372">
        <v>2653.9810000000002</v>
      </c>
      <c r="J40" s="372">
        <v>14548.081</v>
      </c>
      <c r="K40" s="354">
        <v>1459.5949999999989</v>
      </c>
    </row>
    <row r="41" spans="1:11" ht="14.25" customHeight="1" x14ac:dyDescent="0.2">
      <c r="A41" s="516"/>
      <c r="B41" s="518">
        <v>2023</v>
      </c>
      <c r="C41" s="519"/>
      <c r="D41" s="371">
        <v>1459.5949999999989</v>
      </c>
      <c r="E41" s="355">
        <v>8096.7999999999993</v>
      </c>
      <c r="F41" s="354">
        <v>5699.8810000000003</v>
      </c>
      <c r="G41" s="354">
        <v>15256.275999999998</v>
      </c>
      <c r="H41" s="354">
        <v>11943.6</v>
      </c>
      <c r="I41" s="354">
        <v>2790.9780000000001</v>
      </c>
      <c r="J41" s="354">
        <v>14734.578000000001</v>
      </c>
      <c r="K41" s="354">
        <v>521.69799999999759</v>
      </c>
    </row>
    <row r="42" spans="1:11" ht="14.25" customHeight="1" x14ac:dyDescent="0.2">
      <c r="A42" s="516"/>
      <c r="B42" s="520" t="s">
        <v>205</v>
      </c>
      <c r="C42" s="521"/>
      <c r="D42" s="371">
        <v>521.69799999999759</v>
      </c>
      <c r="E42" s="355">
        <v>7889.3</v>
      </c>
      <c r="F42" s="354">
        <v>6822.2139999999999</v>
      </c>
      <c r="G42" s="354">
        <v>15233.211999999998</v>
      </c>
      <c r="H42" s="354">
        <v>11890.6</v>
      </c>
      <c r="I42" s="354">
        <v>1872.6289999999999</v>
      </c>
      <c r="J42" s="354">
        <v>13763.228999999999</v>
      </c>
      <c r="K42" s="354">
        <v>1469.9829999999974</v>
      </c>
    </row>
    <row r="43" spans="1:11" ht="14.25" customHeight="1" x14ac:dyDescent="0.2">
      <c r="A43" s="516"/>
      <c r="B43" s="518" t="s">
        <v>206</v>
      </c>
      <c r="C43" s="519"/>
      <c r="D43" s="359">
        <v>1469.9829999999974</v>
      </c>
      <c r="E43" s="363">
        <v>7873.4</v>
      </c>
      <c r="F43" s="360">
        <v>6129.4</v>
      </c>
      <c r="G43" s="361">
        <v>15472.782999999998</v>
      </c>
      <c r="H43" s="360">
        <v>11890.4</v>
      </c>
      <c r="I43" s="360">
        <v>1817.3</v>
      </c>
      <c r="J43" s="360">
        <v>13707.699999999999</v>
      </c>
      <c r="K43" s="354">
        <v>1765.082999999998</v>
      </c>
    </row>
    <row r="44" spans="1:11" ht="14.25" customHeight="1" x14ac:dyDescent="0.2">
      <c r="A44" s="516"/>
      <c r="B44" s="522" t="s">
        <v>208</v>
      </c>
      <c r="C44" s="362" t="s">
        <v>209</v>
      </c>
      <c r="D44" s="359">
        <v>1481.082999999998</v>
      </c>
      <c r="E44" s="363">
        <v>5813.1</v>
      </c>
      <c r="F44" s="360">
        <v>7103.4</v>
      </c>
      <c r="G44" s="361">
        <v>14397.582999999999</v>
      </c>
      <c r="H44" s="360">
        <v>12000</v>
      </c>
      <c r="I44" s="360">
        <v>1497.3</v>
      </c>
      <c r="J44" s="360">
        <v>13497.3</v>
      </c>
      <c r="K44" s="354">
        <v>900.28299999999876</v>
      </c>
    </row>
    <row r="45" spans="1:11" ht="14.25" customHeight="1" x14ac:dyDescent="0.2">
      <c r="A45" s="517"/>
      <c r="B45" s="523"/>
      <c r="C45" s="362" t="str">
        <f>'[1]Entrada de Dados'!$B$19</f>
        <v>set/26</v>
      </c>
      <c r="D45" s="364">
        <v>1765.082999999998</v>
      </c>
      <c r="E45" s="365">
        <v>5739.7</v>
      </c>
      <c r="F45" s="366">
        <v>7056.6</v>
      </c>
      <c r="G45" s="367">
        <v>14561.382999999998</v>
      </c>
      <c r="H45" s="366">
        <v>12000</v>
      </c>
      <c r="I45" s="366">
        <v>1494.1</v>
      </c>
      <c r="J45" s="366">
        <v>13494.1</v>
      </c>
      <c r="K45" s="366">
        <v>1067.2829999999981</v>
      </c>
    </row>
    <row r="46" spans="1:11" ht="21.75" customHeight="1" x14ac:dyDescent="0.2">
      <c r="A46" s="377" t="s">
        <v>212</v>
      </c>
      <c r="B46" s="377"/>
      <c r="C46" s="377"/>
      <c r="D46" s="377"/>
      <c r="E46" s="377"/>
      <c r="F46" s="377"/>
      <c r="G46" s="377"/>
      <c r="H46" s="377"/>
      <c r="I46" s="396"/>
      <c r="J46" s="377"/>
      <c r="K46" s="377"/>
    </row>
    <row r="47" spans="1:11" ht="14.25" customHeight="1" x14ac:dyDescent="0.2">
      <c r="A47" s="377" t="s">
        <v>150</v>
      </c>
      <c r="B47" s="378"/>
      <c r="C47" s="378"/>
      <c r="D47" s="378"/>
      <c r="E47" s="378"/>
      <c r="F47" s="378"/>
      <c r="G47" s="378"/>
      <c r="H47" s="378"/>
      <c r="I47" s="378"/>
      <c r="J47" s="378"/>
      <c r="K47" s="378"/>
    </row>
    <row r="48" spans="1:11" ht="14.25" customHeight="1" x14ac:dyDescent="0.2">
      <c r="A48" s="377" t="s">
        <v>151</v>
      </c>
      <c r="B48" s="378"/>
      <c r="C48" s="378"/>
      <c r="D48" s="378"/>
      <c r="E48" s="378"/>
      <c r="F48" s="378"/>
      <c r="G48" s="378"/>
      <c r="H48" s="378"/>
      <c r="I48" s="378"/>
      <c r="J48" s="378"/>
      <c r="K48" s="378"/>
    </row>
    <row r="49" spans="1:1" ht="11.25" customHeight="1" x14ac:dyDescent="0.2">
      <c r="A49" s="377" t="s">
        <v>152</v>
      </c>
    </row>
    <row r="51" spans="1:1" ht="14.25" customHeight="1" x14ac:dyDescent="0.2"/>
    <row r="52" spans="1:1" ht="14.25" customHeight="1" x14ac:dyDescent="0.2"/>
    <row r="53" spans="1:1" ht="14.25" customHeight="1" x14ac:dyDescent="0.2"/>
    <row r="54" spans="1:1" ht="14.25" customHeight="1" x14ac:dyDescent="0.2"/>
    <row r="55" spans="1:1" ht="14.25" customHeight="1" x14ac:dyDescent="0.2"/>
    <row r="56" spans="1:1" ht="14.25" customHeight="1" x14ac:dyDescent="0.2"/>
    <row r="57" spans="1:1" ht="14.25" customHeight="1" x14ac:dyDescent="0.2"/>
    <row r="58" spans="1:1" ht="14.25" customHeight="1" x14ac:dyDescent="0.2"/>
    <row r="59" spans="1:1" ht="14.25" customHeight="1" x14ac:dyDescent="0.2"/>
    <row r="60" spans="1:1" ht="14.25" customHeight="1" x14ac:dyDescent="0.2"/>
    <row r="61" spans="1:1" ht="14.25" customHeight="1" x14ac:dyDescent="0.2"/>
    <row r="62" spans="1:1" ht="14.25" customHeight="1" x14ac:dyDescent="0.2"/>
    <row r="63" spans="1:1" ht="14.25" customHeight="1" x14ac:dyDescent="0.2"/>
    <row r="64" spans="1:1" ht="14.25" customHeight="1" x14ac:dyDescent="0.2"/>
    <row r="65" ht="14.25" customHeight="1" x14ac:dyDescent="0.2"/>
  </sheetData>
  <mergeCells count="45">
    <mergeCell ref="A1:K1"/>
    <mergeCell ref="A2:K2"/>
    <mergeCell ref="A3:K3"/>
    <mergeCell ref="H4:K4"/>
    <mergeCell ref="B5:C5"/>
    <mergeCell ref="B11:C11"/>
    <mergeCell ref="A6:A13"/>
    <mergeCell ref="B6:C6"/>
    <mergeCell ref="B7:C7"/>
    <mergeCell ref="B8:C8"/>
    <mergeCell ref="B9:C9"/>
    <mergeCell ref="B10:C10"/>
    <mergeCell ref="B12:B13"/>
    <mergeCell ref="A14:A21"/>
    <mergeCell ref="B14:C14"/>
    <mergeCell ref="B15:C15"/>
    <mergeCell ref="B16:C16"/>
    <mergeCell ref="B17:C17"/>
    <mergeCell ref="B18:C18"/>
    <mergeCell ref="B19:C19"/>
    <mergeCell ref="B20:B21"/>
    <mergeCell ref="A22:A29"/>
    <mergeCell ref="B22:C22"/>
    <mergeCell ref="B23:C23"/>
    <mergeCell ref="B24:C24"/>
    <mergeCell ref="B25:C25"/>
    <mergeCell ref="B26:C26"/>
    <mergeCell ref="B27:C27"/>
    <mergeCell ref="B28:B29"/>
    <mergeCell ref="A30:A37"/>
    <mergeCell ref="B30:C30"/>
    <mergeCell ref="B31:C31"/>
    <mergeCell ref="B32:C32"/>
    <mergeCell ref="B33:C33"/>
    <mergeCell ref="B34:C34"/>
    <mergeCell ref="B35:C35"/>
    <mergeCell ref="B36:B37"/>
    <mergeCell ref="A38:A45"/>
    <mergeCell ref="B38:C38"/>
    <mergeCell ref="B39:C39"/>
    <mergeCell ref="B40:C40"/>
    <mergeCell ref="B41:C41"/>
    <mergeCell ref="B42:C42"/>
    <mergeCell ref="B43:C43"/>
    <mergeCell ref="B44:B45"/>
  </mergeCells>
  <printOptions gridLines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X59"/>
  <sheetViews>
    <sheetView showGridLines="0" tabSelected="1" zoomScale="85" zoomScaleNormal="85" workbookViewId="0">
      <selection activeCell="D10" sqref="D10"/>
    </sheetView>
  </sheetViews>
  <sheetFormatPr defaultColWidth="12.42578125" defaultRowHeight="11.25" customHeight="1" x14ac:dyDescent="0.2"/>
  <cols>
    <col min="1" max="1" width="40.42578125" style="345" customWidth="1"/>
    <col min="2" max="2" width="18.42578125" style="345" customWidth="1"/>
    <col min="3" max="3" width="14.42578125" style="345" customWidth="1"/>
    <col min="4" max="4" width="15.42578125" style="345" customWidth="1"/>
    <col min="5" max="5" width="13.42578125" style="345" customWidth="1"/>
    <col min="6" max="6" width="12" style="345" customWidth="1"/>
    <col min="7" max="7" width="12.42578125" style="345" customWidth="1"/>
    <col min="8" max="8" width="9.42578125" style="345" customWidth="1"/>
    <col min="9" max="9" width="12.42578125" style="345" customWidth="1"/>
    <col min="10" max="14" width="9.42578125" style="345" customWidth="1"/>
    <col min="15" max="15" width="10.42578125" style="345" bestFit="1" customWidth="1"/>
    <col min="16" max="17" width="12.42578125" style="345" bestFit="1" customWidth="1"/>
    <col min="18" max="258" width="12.42578125" style="345" customWidth="1"/>
  </cols>
  <sheetData>
    <row r="1" spans="1:7" ht="41.25" customHeight="1" x14ac:dyDescent="0.2">
      <c r="A1" s="379"/>
      <c r="B1" s="379"/>
      <c r="C1" s="379"/>
      <c r="D1" s="379"/>
    </row>
    <row r="2" spans="1:7" ht="14.25" customHeight="1" x14ac:dyDescent="0.2">
      <c r="A2" s="380"/>
      <c r="B2" s="380"/>
      <c r="C2" s="380"/>
      <c r="D2" s="380"/>
    </row>
    <row r="3" spans="1:7" ht="14.25" customHeight="1" x14ac:dyDescent="0.2">
      <c r="A3" s="380"/>
      <c r="B3" s="380"/>
      <c r="C3" s="380"/>
      <c r="D3" s="380"/>
    </row>
    <row r="4" spans="1:7" ht="15" customHeight="1" x14ac:dyDescent="0.2"/>
    <row r="5" spans="1:7" ht="27.75" customHeight="1" x14ac:dyDescent="0.2">
      <c r="A5" s="538" t="s">
        <v>9</v>
      </c>
      <c r="B5" s="540" t="s">
        <v>128</v>
      </c>
      <c r="C5" s="540"/>
      <c r="D5" s="540"/>
      <c r="E5" s="540"/>
      <c r="F5" s="540"/>
      <c r="G5" s="540"/>
    </row>
    <row r="6" spans="1:7" ht="14.25" customHeight="1" x14ac:dyDescent="0.2">
      <c r="A6" s="539"/>
      <c r="B6" s="381" t="s">
        <v>138</v>
      </c>
      <c r="C6" s="381" t="s">
        <v>139</v>
      </c>
      <c r="D6" s="381" t="s">
        <v>140</v>
      </c>
      <c r="E6" s="381" t="s">
        <v>141</v>
      </c>
      <c r="F6" s="381" t="s">
        <v>142</v>
      </c>
      <c r="G6" s="381" t="s">
        <v>143</v>
      </c>
    </row>
    <row r="7" spans="1:7" ht="15.75" customHeight="1" x14ac:dyDescent="0.2">
      <c r="A7" s="382" t="s">
        <v>153</v>
      </c>
      <c r="B7" s="541"/>
      <c r="C7" s="541"/>
      <c r="D7" s="541"/>
      <c r="E7" s="541"/>
      <c r="F7" s="541"/>
      <c r="G7" s="541"/>
    </row>
    <row r="8" spans="1:7" ht="15.75" customHeight="1" x14ac:dyDescent="0.2">
      <c r="A8" s="383" t="s">
        <v>154</v>
      </c>
      <c r="B8" s="384">
        <v>5260.1549999999943</v>
      </c>
      <c r="C8" s="384">
        <v>9361.7147797797297</v>
      </c>
      <c r="D8" s="385">
        <v>9548.8546627797041</v>
      </c>
      <c r="E8" s="385">
        <v>11033.778497779713</v>
      </c>
      <c r="F8" s="385">
        <v>7231.151512779732</v>
      </c>
      <c r="G8" s="385">
        <v>9974.6311877796834</v>
      </c>
    </row>
    <row r="9" spans="1:7" ht="15.75" customHeight="1" x14ac:dyDescent="0.2">
      <c r="A9" s="383" t="s">
        <v>155</v>
      </c>
      <c r="B9" s="384">
        <v>140179.33249999999</v>
      </c>
      <c r="C9" s="384">
        <v>130828.70000000001</v>
      </c>
      <c r="D9" s="384">
        <v>159154.29999999999</v>
      </c>
      <c r="E9" s="384">
        <v>151283.4</v>
      </c>
      <c r="F9" s="384">
        <v>171480.5</v>
      </c>
      <c r="G9" s="384">
        <v>180406.6</v>
      </c>
    </row>
    <row r="10" spans="1:7" ht="15.75" customHeight="1" x14ac:dyDescent="0.2">
      <c r="A10" s="383" t="s">
        <v>156</v>
      </c>
      <c r="B10" s="384">
        <v>863.70347400000003</v>
      </c>
      <c r="C10" s="384">
        <v>419.1720160000001</v>
      </c>
      <c r="D10" s="385">
        <v>181.02439799999999</v>
      </c>
      <c r="E10" s="384">
        <v>820.96247899999992</v>
      </c>
      <c r="F10" s="384">
        <v>968.99999999999989</v>
      </c>
      <c r="G10" s="384">
        <v>900.00000000000011</v>
      </c>
    </row>
    <row r="11" spans="1:7" ht="15.75" customHeight="1" x14ac:dyDescent="0.2">
      <c r="A11" s="383" t="s">
        <v>157</v>
      </c>
      <c r="B11" s="384">
        <v>3050.3</v>
      </c>
      <c r="C11" s="384">
        <v>2862.4530999999997</v>
      </c>
      <c r="D11" s="384">
        <v>3368.5100999999995</v>
      </c>
      <c r="E11" s="384">
        <v>3427.4737999999998</v>
      </c>
      <c r="F11" s="384">
        <v>3638.6876499999998</v>
      </c>
      <c r="G11" s="384">
        <v>3766.1891000000001</v>
      </c>
    </row>
    <row r="12" spans="1:7" ht="15.75" customHeight="1" x14ac:dyDescent="0.2">
      <c r="A12" s="383" t="s">
        <v>158</v>
      </c>
      <c r="B12" s="384">
        <v>86109.796363999994</v>
      </c>
      <c r="C12" s="384">
        <v>78730.124033000015</v>
      </c>
      <c r="D12" s="385">
        <v>101869.89046300002</v>
      </c>
      <c r="E12" s="384">
        <v>98814.515663999977</v>
      </c>
      <c r="F12" s="384">
        <v>108181.06267499999</v>
      </c>
      <c r="G12" s="384">
        <v>116203.75488186615</v>
      </c>
    </row>
    <row r="13" spans="1:7" ht="15.75" customHeight="1" x14ac:dyDescent="0.2">
      <c r="A13" s="383" t="s">
        <v>159</v>
      </c>
      <c r="B13" s="384">
        <v>47781.379830220285</v>
      </c>
      <c r="C13" s="384">
        <v>49468</v>
      </c>
      <c r="D13" s="384">
        <v>52612</v>
      </c>
      <c r="E13" s="384">
        <v>53665</v>
      </c>
      <c r="F13" s="384">
        <v>57886.26999999999</v>
      </c>
      <c r="G13" s="384">
        <v>62137.742428166399</v>
      </c>
    </row>
    <row r="14" spans="1:7" ht="15.75" customHeight="1" x14ac:dyDescent="0.2">
      <c r="A14" s="383" t="s">
        <v>160</v>
      </c>
      <c r="B14" s="385">
        <v>9361.7147797797297</v>
      </c>
      <c r="C14" s="385">
        <v>9549.0096627797029</v>
      </c>
      <c r="D14" s="385">
        <v>11033.778497779713</v>
      </c>
      <c r="E14" s="385">
        <v>7231.151512779732</v>
      </c>
      <c r="F14" s="385">
        <v>9974.6311877797416</v>
      </c>
      <c r="G14" s="385">
        <v>9173.5447777471563</v>
      </c>
    </row>
    <row r="15" spans="1:7" ht="15.75" customHeight="1" x14ac:dyDescent="0.2">
      <c r="A15" s="382" t="s">
        <v>161</v>
      </c>
      <c r="B15" s="542"/>
      <c r="C15" s="542"/>
      <c r="D15" s="542"/>
      <c r="E15" s="542"/>
      <c r="F15" s="542"/>
      <c r="G15" s="542"/>
    </row>
    <row r="16" spans="1:7" ht="15.75" customHeight="1" x14ac:dyDescent="0.2">
      <c r="A16" s="383" t="s">
        <v>162</v>
      </c>
      <c r="B16" s="384">
        <v>1473</v>
      </c>
      <c r="C16" s="384">
        <v>1785.8493246621983</v>
      </c>
      <c r="D16" s="385">
        <v>2717.4550485647123</v>
      </c>
      <c r="E16" s="385">
        <v>3523.0681625647048</v>
      </c>
      <c r="F16" s="385">
        <v>2589.0171720540529</v>
      </c>
      <c r="G16" s="385">
        <v>3802.3709292322746</v>
      </c>
    </row>
    <row r="17" spans="1:7" ht="15.75" customHeight="1" x14ac:dyDescent="0.2">
      <c r="A17" s="383" t="s">
        <v>163</v>
      </c>
      <c r="B17" s="384">
        <v>36771.141889948252</v>
      </c>
      <c r="C17" s="384">
        <v>38881.261695902511</v>
      </c>
      <c r="D17" s="384">
        <v>41079</v>
      </c>
      <c r="E17" s="385">
        <v>41019.223717489353</v>
      </c>
      <c r="F17" s="385">
        <v>44233.717581178222</v>
      </c>
      <c r="G17" s="385">
        <v>47805.81260663506</v>
      </c>
    </row>
    <row r="18" spans="1:7" ht="15.75" customHeight="1" x14ac:dyDescent="0.2">
      <c r="A18" s="383" t="s">
        <v>164</v>
      </c>
      <c r="B18" s="384">
        <v>4.3602240000000005</v>
      </c>
      <c r="C18" s="384">
        <v>3.2237020000000003</v>
      </c>
      <c r="D18" s="384">
        <v>0.11592</v>
      </c>
      <c r="E18" s="385">
        <v>0.670296</v>
      </c>
      <c r="F18" s="385">
        <v>6.9030000000000008E-2</v>
      </c>
      <c r="G18" s="385">
        <v>1</v>
      </c>
    </row>
    <row r="19" spans="1:7" ht="15.75" customHeight="1" x14ac:dyDescent="0.2">
      <c r="A19" s="383" t="s">
        <v>165</v>
      </c>
      <c r="B19" s="384">
        <v>17149.125824999999</v>
      </c>
      <c r="C19" s="384">
        <v>20352.879674</v>
      </c>
      <c r="D19" s="385">
        <v>22473.502806000004</v>
      </c>
      <c r="E19" s="385">
        <v>23133.802003999997</v>
      </c>
      <c r="F19" s="385">
        <v>23269.247853999997</v>
      </c>
      <c r="G19" s="385">
        <v>26132.533068509834</v>
      </c>
    </row>
    <row r="20" spans="1:7" ht="15.75" customHeight="1" x14ac:dyDescent="0.2">
      <c r="A20" s="383" t="s">
        <v>166</v>
      </c>
      <c r="B20" s="384">
        <v>19313.526964286051</v>
      </c>
      <c r="C20" s="384">
        <v>17600.000000000004</v>
      </c>
      <c r="D20" s="385">
        <v>17800</v>
      </c>
      <c r="E20" s="385">
        <v>18820.143000000004</v>
      </c>
      <c r="F20" s="385">
        <v>19751.185000000001</v>
      </c>
      <c r="G20" s="385">
        <v>21400.000000000004</v>
      </c>
    </row>
    <row r="21" spans="1:7" ht="15.75" customHeight="1" x14ac:dyDescent="0.2">
      <c r="A21" s="383" t="s">
        <v>167</v>
      </c>
      <c r="B21" s="384">
        <v>1785.8493246621983</v>
      </c>
      <c r="C21" s="384">
        <v>2717.4550485647123</v>
      </c>
      <c r="D21" s="384">
        <v>3523.0681625647048</v>
      </c>
      <c r="E21" s="384">
        <v>2589.0171720540529</v>
      </c>
      <c r="F21" s="384">
        <v>3802.3709292322746</v>
      </c>
      <c r="G21" s="384">
        <v>4076.6504673574964</v>
      </c>
    </row>
    <row r="22" spans="1:7" ht="15.75" customHeight="1" x14ac:dyDescent="0.2">
      <c r="A22" s="382" t="s">
        <v>168</v>
      </c>
      <c r="B22" s="542"/>
      <c r="C22" s="542"/>
      <c r="D22" s="542"/>
      <c r="E22" s="542"/>
      <c r="F22" s="542"/>
      <c r="G22" s="542"/>
    </row>
    <row r="23" spans="1:7" ht="15.75" customHeight="1" x14ac:dyDescent="0.2">
      <c r="A23" s="383" t="s">
        <v>169</v>
      </c>
      <c r="B23" s="384">
        <v>412</v>
      </c>
      <c r="C23" s="385">
        <v>489.17478229159133</v>
      </c>
      <c r="D23" s="385">
        <v>519.40947133868849</v>
      </c>
      <c r="E23" s="385">
        <v>311.60406143856017</v>
      </c>
      <c r="F23" s="385">
        <v>465.23997678425076</v>
      </c>
      <c r="G23" s="385">
        <v>660.55932124160609</v>
      </c>
    </row>
    <row r="24" spans="1:7" ht="15.75" customHeight="1" x14ac:dyDescent="0.2">
      <c r="A24" s="383" t="s">
        <v>170</v>
      </c>
      <c r="B24" s="384">
        <v>9637.963449291592</v>
      </c>
      <c r="C24" s="384">
        <v>9658.6404570470968</v>
      </c>
      <c r="D24" s="384">
        <v>10471.384350099874</v>
      </c>
      <c r="E24" s="384">
        <v>10905.672891345692</v>
      </c>
      <c r="F24" s="384">
        <v>11765.020973457356</v>
      </c>
      <c r="G24" s="384">
        <v>12564.351468253966</v>
      </c>
    </row>
    <row r="25" spans="1:7" ht="15.75" customHeight="1" x14ac:dyDescent="0.2">
      <c r="A25" s="383" t="s">
        <v>171</v>
      </c>
      <c r="B25" s="384">
        <v>107.11839499999999</v>
      </c>
      <c r="C25" s="384">
        <v>24.396212999999999</v>
      </c>
      <c r="D25" s="385">
        <v>21.374271999999998</v>
      </c>
      <c r="E25" s="384">
        <v>99.180058999999986</v>
      </c>
      <c r="F25" s="384">
        <v>105.235572</v>
      </c>
      <c r="G25" s="384">
        <v>99.999999999999986</v>
      </c>
    </row>
    <row r="26" spans="1:7" ht="15.75" customHeight="1" x14ac:dyDescent="0.2">
      <c r="A26" s="383" t="s">
        <v>172</v>
      </c>
      <c r="B26" s="384">
        <v>1650.907062</v>
      </c>
      <c r="C26" s="384">
        <v>2596.8019809999996</v>
      </c>
      <c r="D26" s="385">
        <v>2332.5640320000002</v>
      </c>
      <c r="E26" s="384">
        <v>1367.2170349999999</v>
      </c>
      <c r="F26" s="384">
        <v>1362.9372009999997</v>
      </c>
      <c r="G26" s="384">
        <v>1799.9999999999995</v>
      </c>
    </row>
    <row r="27" spans="1:7" ht="15.75" customHeight="1" x14ac:dyDescent="0.2">
      <c r="A27" s="383" t="s">
        <v>173</v>
      </c>
      <c r="B27" s="384">
        <v>8017</v>
      </c>
      <c r="C27" s="384">
        <v>7056</v>
      </c>
      <c r="D27" s="384">
        <v>8368</v>
      </c>
      <c r="E27" s="384">
        <v>9484.0000000000018</v>
      </c>
      <c r="F27" s="384">
        <v>10312</v>
      </c>
      <c r="G27" s="384">
        <v>10689.000000000002</v>
      </c>
    </row>
    <row r="28" spans="1:7" ht="15.75" customHeight="1" x14ac:dyDescent="0.2">
      <c r="A28" s="386" t="s">
        <v>174</v>
      </c>
      <c r="B28" s="387">
        <v>489.17478229159133</v>
      </c>
      <c r="C28" s="387">
        <v>519.40947133868849</v>
      </c>
      <c r="D28" s="387">
        <v>311.60406143856017</v>
      </c>
      <c r="E28" s="387">
        <v>465.23997678425076</v>
      </c>
      <c r="F28" s="387">
        <v>660.55932124160609</v>
      </c>
      <c r="G28" s="387">
        <v>835.9107894955705</v>
      </c>
    </row>
    <row r="29" spans="1:7" ht="15" customHeight="1" x14ac:dyDescent="0.2">
      <c r="A29" s="377" t="s">
        <v>212</v>
      </c>
      <c r="B29" s="377"/>
    </row>
    <row r="30" spans="1:7" ht="15" customHeight="1" x14ac:dyDescent="0.2">
      <c r="A30" s="377" t="s">
        <v>175</v>
      </c>
      <c r="B30" s="377"/>
    </row>
    <row r="31" spans="1:7" ht="15" customHeight="1" x14ac:dyDescent="0.2">
      <c r="A31" s="388" t="s">
        <v>176</v>
      </c>
      <c r="B31" s="377"/>
    </row>
    <row r="32" spans="1:7" ht="14.25" customHeight="1" x14ac:dyDescent="0.2"/>
    <row r="33" spans="4:10" ht="14.25" customHeight="1" x14ac:dyDescent="0.2"/>
    <row r="34" spans="4:10" ht="14.25" customHeight="1" x14ac:dyDescent="0.2"/>
    <row r="35" spans="4:10" ht="14.25" customHeight="1" x14ac:dyDescent="0.2"/>
    <row r="36" spans="4:10" ht="14.25" customHeight="1" x14ac:dyDescent="0.2"/>
    <row r="37" spans="4:10" ht="14.25" customHeight="1" x14ac:dyDescent="0.2"/>
    <row r="38" spans="4:10" ht="14.25" customHeight="1" x14ac:dyDescent="0.2"/>
    <row r="39" spans="4:10" ht="14.25" customHeight="1" x14ac:dyDescent="0.2"/>
    <row r="40" spans="4:10" ht="14.25" customHeight="1" x14ac:dyDescent="0.2"/>
    <row r="41" spans="4:10" ht="21.75" customHeight="1" x14ac:dyDescent="0.2">
      <c r="G41" s="377"/>
      <c r="H41" s="377"/>
      <c r="I41" s="377"/>
      <c r="J41" s="389"/>
    </row>
    <row r="42" spans="4:10" ht="14.25" customHeight="1" x14ac:dyDescent="0.2">
      <c r="G42" s="377"/>
      <c r="H42" s="377"/>
      <c r="I42" s="377"/>
      <c r="J42" s="377"/>
    </row>
    <row r="43" spans="4:10" ht="11.25" customHeight="1" x14ac:dyDescent="0.2">
      <c r="G43" s="378"/>
      <c r="H43" s="378"/>
      <c r="I43" s="378"/>
      <c r="J43" s="378"/>
    </row>
    <row r="45" spans="4:10" ht="14.25" customHeight="1" x14ac:dyDescent="0.2"/>
    <row r="46" spans="4:10" ht="14.25" customHeight="1" x14ac:dyDescent="0.2">
      <c r="D46" s="390"/>
      <c r="E46" s="391"/>
      <c r="F46" s="392"/>
      <c r="G46" s="390"/>
      <c r="H46" s="392"/>
      <c r="I46" s="392"/>
      <c r="J46" s="392"/>
    </row>
    <row r="47" spans="4:10" ht="14.25" customHeight="1" x14ac:dyDescent="0.2"/>
    <row r="48" spans="4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</sheetData>
  <mergeCells count="5">
    <mergeCell ref="A5:A6"/>
    <mergeCell ref="B5:G5"/>
    <mergeCell ref="B7:G7"/>
    <mergeCell ref="B15:G15"/>
    <mergeCell ref="B22:G22"/>
  </mergeCells>
  <printOptions gridLines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0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3.8</v>
      </c>
      <c r="C13" s="105">
        <v>3.5</v>
      </c>
      <c r="D13" s="105">
        <v>-7.9</v>
      </c>
      <c r="E13" s="106">
        <v>1227</v>
      </c>
      <c r="F13" s="106">
        <v>1259</v>
      </c>
      <c r="G13" s="105">
        <v>2.6</v>
      </c>
      <c r="H13" s="105">
        <v>4.7</v>
      </c>
      <c r="I13" s="105">
        <v>4.4000000000000004</v>
      </c>
      <c r="J13" s="105">
        <v>-6.4</v>
      </c>
      <c r="K13" s="26"/>
    </row>
    <row r="14" spans="1:14" ht="17.25" customHeight="1" x14ac:dyDescent="0.2">
      <c r="A14" s="107" t="s">
        <v>25</v>
      </c>
      <c r="B14" s="105">
        <v>3.8</v>
      </c>
      <c r="C14" s="105">
        <v>3.5</v>
      </c>
      <c r="D14" s="105">
        <v>-7.9</v>
      </c>
      <c r="E14" s="106">
        <v>1227</v>
      </c>
      <c r="F14" s="106">
        <v>1259</v>
      </c>
      <c r="G14" s="105">
        <v>2.6</v>
      </c>
      <c r="H14" s="105">
        <v>4.7</v>
      </c>
      <c r="I14" s="105">
        <v>4.4000000000000004</v>
      </c>
      <c r="J14" s="105">
        <v>-6.4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5.3</v>
      </c>
      <c r="C16" s="105">
        <v>5</v>
      </c>
      <c r="D16" s="105">
        <v>-5.7</v>
      </c>
      <c r="E16" s="106">
        <v>563</v>
      </c>
      <c r="F16" s="106">
        <v>554</v>
      </c>
      <c r="G16" s="105">
        <v>-1.6</v>
      </c>
      <c r="H16" s="105">
        <v>3</v>
      </c>
      <c r="I16" s="105">
        <v>2.8</v>
      </c>
      <c r="J16" s="105">
        <v>-6.7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5.3</v>
      </c>
      <c r="C21" s="105">
        <v>5</v>
      </c>
      <c r="D21" s="105">
        <v>-5.7</v>
      </c>
      <c r="E21" s="106">
        <v>563</v>
      </c>
      <c r="F21" s="106">
        <v>554</v>
      </c>
      <c r="G21" s="105">
        <v>-1.6</v>
      </c>
      <c r="H21" s="105">
        <v>3</v>
      </c>
      <c r="I21" s="105">
        <v>2.8</v>
      </c>
      <c r="J21" s="105">
        <v>-6.7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5.3</v>
      </c>
      <c r="C24" s="105">
        <v>5</v>
      </c>
      <c r="D24" s="105">
        <v>-5.7</v>
      </c>
      <c r="E24" s="106">
        <v>563</v>
      </c>
      <c r="F24" s="106">
        <v>554</v>
      </c>
      <c r="G24" s="105">
        <v>-1.6</v>
      </c>
      <c r="H24" s="105">
        <v>3</v>
      </c>
      <c r="I24" s="105">
        <v>2.8</v>
      </c>
      <c r="J24" s="105">
        <v>-6.7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41</v>
      </c>
      <c r="C32" s="105">
        <v>42.400000000000006</v>
      </c>
      <c r="D32" s="105">
        <v>3.4</v>
      </c>
      <c r="E32" s="106">
        <v>3406.636585365854</v>
      </c>
      <c r="F32" s="106">
        <v>3481.9339622641505</v>
      </c>
      <c r="G32" s="105">
        <v>2.2000000000000002</v>
      </c>
      <c r="H32" s="105">
        <v>139.69999999999999</v>
      </c>
      <c r="I32" s="105">
        <v>147.6</v>
      </c>
      <c r="J32" s="105">
        <v>5.7</v>
      </c>
      <c r="K32" s="26"/>
    </row>
    <row r="33" spans="1:14" ht="17.25" customHeight="1" x14ac:dyDescent="0.2">
      <c r="A33" s="107" t="s">
        <v>41</v>
      </c>
      <c r="B33" s="105">
        <v>29.7</v>
      </c>
      <c r="C33" s="105">
        <v>31.1</v>
      </c>
      <c r="D33" s="105">
        <v>4.7</v>
      </c>
      <c r="E33" s="106">
        <v>2972</v>
      </c>
      <c r="F33" s="106">
        <v>3144</v>
      </c>
      <c r="G33" s="105">
        <v>5.8</v>
      </c>
      <c r="H33" s="105">
        <v>88.3</v>
      </c>
      <c r="I33" s="105">
        <v>97.8</v>
      </c>
      <c r="J33" s="105">
        <v>10.8</v>
      </c>
      <c r="K33" s="26"/>
    </row>
    <row r="34" spans="1:14" ht="17.25" customHeight="1" x14ac:dyDescent="0.2">
      <c r="A34" s="107" t="s">
        <v>42</v>
      </c>
      <c r="B34" s="105">
        <v>11.3</v>
      </c>
      <c r="C34" s="105">
        <v>11.3</v>
      </c>
      <c r="D34" s="105">
        <v>0</v>
      </c>
      <c r="E34" s="106">
        <v>4549</v>
      </c>
      <c r="F34" s="106">
        <v>4412</v>
      </c>
      <c r="G34" s="105">
        <v>-3</v>
      </c>
      <c r="H34" s="105">
        <v>51.4</v>
      </c>
      <c r="I34" s="105">
        <v>49.9</v>
      </c>
      <c r="J34" s="105">
        <v>-2.9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18.600000000000001</v>
      </c>
      <c r="C36" s="105">
        <v>22</v>
      </c>
      <c r="D36" s="105">
        <v>18.3</v>
      </c>
      <c r="E36" s="106">
        <v>3459</v>
      </c>
      <c r="F36" s="106">
        <v>3896</v>
      </c>
      <c r="G36" s="105">
        <v>12.6</v>
      </c>
      <c r="H36" s="105">
        <v>64.3</v>
      </c>
      <c r="I36" s="105">
        <v>85.7</v>
      </c>
      <c r="J36" s="105">
        <v>33.299999999999997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68.7</v>
      </c>
      <c r="C38" s="114">
        <v>72.900000000000006</v>
      </c>
      <c r="D38" s="114">
        <v>6.1</v>
      </c>
      <c r="E38" s="115">
        <v>3082</v>
      </c>
      <c r="F38" s="115">
        <v>3299</v>
      </c>
      <c r="G38" s="114">
        <v>7</v>
      </c>
      <c r="H38" s="114">
        <v>211.7</v>
      </c>
      <c r="I38" s="114">
        <v>240.5</v>
      </c>
      <c r="J38" s="116">
        <v>13.6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177</v>
      </c>
      <c r="B49" s="122">
        <v>68.7</v>
      </c>
      <c r="C49" s="122">
        <v>72.900000000000006</v>
      </c>
      <c r="D49" s="123">
        <v>6.1</v>
      </c>
      <c r="E49" s="124">
        <v>3082</v>
      </c>
      <c r="F49" s="124">
        <v>3299</v>
      </c>
      <c r="G49" s="123">
        <v>7</v>
      </c>
      <c r="H49" s="122">
        <v>211.7</v>
      </c>
      <c r="I49" s="122">
        <v>240.5</v>
      </c>
      <c r="J49" s="125">
        <v>13.6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2.6</v>
      </c>
      <c r="C13" s="105">
        <v>2.5</v>
      </c>
      <c r="D13" s="105">
        <v>-3.8</v>
      </c>
      <c r="E13" s="106">
        <v>7200</v>
      </c>
      <c r="F13" s="106">
        <v>8800</v>
      </c>
      <c r="G13" s="105">
        <v>22.2</v>
      </c>
      <c r="H13" s="105">
        <v>18.7</v>
      </c>
      <c r="I13" s="105">
        <v>22</v>
      </c>
      <c r="J13" s="105">
        <v>17.600000000000001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2.6</v>
      </c>
      <c r="C15" s="105">
        <v>2.5</v>
      </c>
      <c r="D15" s="105">
        <v>-3.8</v>
      </c>
      <c r="E15" s="106">
        <v>7200</v>
      </c>
      <c r="F15" s="106">
        <v>8800</v>
      </c>
      <c r="G15" s="105">
        <v>22.2</v>
      </c>
      <c r="H15" s="105">
        <v>18.7</v>
      </c>
      <c r="I15" s="105">
        <v>22</v>
      </c>
      <c r="J15" s="105">
        <v>17.600000000000001</v>
      </c>
      <c r="K15" s="26"/>
    </row>
    <row r="16" spans="1:14" ht="17.25" customHeight="1" x14ac:dyDescent="0.2">
      <c r="A16" s="104" t="s">
        <v>27</v>
      </c>
      <c r="B16" s="105">
        <v>20.599999999999998</v>
      </c>
      <c r="C16" s="105">
        <v>7.3000000000000007</v>
      </c>
      <c r="D16" s="105">
        <v>-64.599999999999994</v>
      </c>
      <c r="E16" s="106">
        <v>617.97087378640788</v>
      </c>
      <c r="F16" s="106">
        <v>415.63013698630135</v>
      </c>
      <c r="G16" s="105">
        <v>-32.700000000000003</v>
      </c>
      <c r="H16" s="105">
        <v>12.7</v>
      </c>
      <c r="I16" s="105">
        <v>3</v>
      </c>
      <c r="J16" s="105">
        <v>-76.400000000000006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20.599999999999998</v>
      </c>
      <c r="C25" s="105">
        <v>7.3000000000000007</v>
      </c>
      <c r="D25" s="105">
        <v>-64.599999999999994</v>
      </c>
      <c r="E25" s="106">
        <v>617.97087378640788</v>
      </c>
      <c r="F25" s="106">
        <v>415.63013698630135</v>
      </c>
      <c r="G25" s="105">
        <v>-32.700000000000003</v>
      </c>
      <c r="H25" s="105">
        <v>12.7</v>
      </c>
      <c r="I25" s="105">
        <v>3</v>
      </c>
      <c r="J25" s="105">
        <v>-76.400000000000006</v>
      </c>
      <c r="K25" s="26"/>
    </row>
    <row r="26" spans="1:12" s="1" customFormat="1" ht="17.25" customHeight="1" x14ac:dyDescent="0.2">
      <c r="A26" s="111" t="s">
        <v>32</v>
      </c>
      <c r="B26" s="105">
        <v>18.399999999999999</v>
      </c>
      <c r="C26" s="105">
        <v>6.9</v>
      </c>
      <c r="D26" s="105">
        <v>-62.5</v>
      </c>
      <c r="E26" s="106">
        <v>576</v>
      </c>
      <c r="F26" s="106">
        <v>413</v>
      </c>
      <c r="G26" s="105">
        <v>-28.3</v>
      </c>
      <c r="H26" s="105">
        <v>10.6</v>
      </c>
      <c r="I26" s="105">
        <v>2.8</v>
      </c>
      <c r="J26" s="105">
        <v>-73.599999999999994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2.2000000000000002</v>
      </c>
      <c r="C28" s="105">
        <v>0.4</v>
      </c>
      <c r="D28" s="105">
        <v>-81.8</v>
      </c>
      <c r="E28" s="106">
        <v>969</v>
      </c>
      <c r="F28" s="106">
        <v>461</v>
      </c>
      <c r="G28" s="105">
        <v>-52.4</v>
      </c>
      <c r="H28" s="105">
        <v>2.1</v>
      </c>
      <c r="I28" s="105">
        <v>0.2</v>
      </c>
      <c r="J28" s="105">
        <v>-90.5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31.2</v>
      </c>
      <c r="C32" s="105">
        <v>37</v>
      </c>
      <c r="D32" s="105">
        <v>18.600000000000001</v>
      </c>
      <c r="E32" s="106">
        <v>5230</v>
      </c>
      <c r="F32" s="106">
        <v>2203</v>
      </c>
      <c r="G32" s="105">
        <v>-57.9</v>
      </c>
      <c r="H32" s="105">
        <v>163.19999999999999</v>
      </c>
      <c r="I32" s="105">
        <v>81.5</v>
      </c>
      <c r="J32" s="105">
        <v>-50.1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31.2</v>
      </c>
      <c r="C35" s="105">
        <v>37</v>
      </c>
      <c r="D35" s="105">
        <v>18.600000000000001</v>
      </c>
      <c r="E35" s="106">
        <v>5230</v>
      </c>
      <c r="F35" s="106">
        <v>2203</v>
      </c>
      <c r="G35" s="105">
        <v>-57.9</v>
      </c>
      <c r="H35" s="105">
        <v>163.19999999999999</v>
      </c>
      <c r="I35" s="105">
        <v>81.5</v>
      </c>
      <c r="J35" s="105">
        <v>-50.1</v>
      </c>
      <c r="K35" s="26"/>
    </row>
    <row r="36" spans="1:14" ht="17.25" customHeight="1" x14ac:dyDescent="0.2">
      <c r="A36" s="104" t="s">
        <v>44</v>
      </c>
      <c r="B36" s="105">
        <v>4.9000000000000004</v>
      </c>
      <c r="C36" s="105">
        <v>5.8</v>
      </c>
      <c r="D36" s="105">
        <v>18.399999999999999</v>
      </c>
      <c r="E36" s="106">
        <v>3600</v>
      </c>
      <c r="F36" s="106">
        <v>3600</v>
      </c>
      <c r="G36" s="105">
        <v>0</v>
      </c>
      <c r="H36" s="105">
        <v>17.600000000000001</v>
      </c>
      <c r="I36" s="105">
        <v>20.9</v>
      </c>
      <c r="J36" s="105">
        <v>18.8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59.3</v>
      </c>
      <c r="C38" s="114">
        <v>52.599999999999994</v>
      </c>
      <c r="D38" s="114">
        <v>-11.3</v>
      </c>
      <c r="E38" s="115">
        <v>3578</v>
      </c>
      <c r="F38" s="115">
        <v>2422</v>
      </c>
      <c r="G38" s="114">
        <v>-32.299999999999997</v>
      </c>
      <c r="H38" s="114">
        <v>212.2</v>
      </c>
      <c r="I38" s="114">
        <v>127.4</v>
      </c>
      <c r="J38" s="116">
        <v>-40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179</v>
      </c>
      <c r="B49" s="122">
        <v>59.3</v>
      </c>
      <c r="C49" s="122">
        <v>52.599999999999994</v>
      </c>
      <c r="D49" s="123">
        <v>-11.3</v>
      </c>
      <c r="E49" s="124">
        <v>3578</v>
      </c>
      <c r="F49" s="124">
        <v>2422</v>
      </c>
      <c r="G49" s="123">
        <v>-32.299999999999997</v>
      </c>
      <c r="H49" s="122">
        <v>212.2</v>
      </c>
      <c r="I49" s="122">
        <v>127.4</v>
      </c>
      <c r="J49" s="125">
        <v>-40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4.5999999999999996</v>
      </c>
      <c r="C13" s="105">
        <v>6.4</v>
      </c>
      <c r="D13" s="105">
        <v>39.1</v>
      </c>
      <c r="E13" s="106">
        <v>3252</v>
      </c>
      <c r="F13" s="106">
        <v>2870</v>
      </c>
      <c r="G13" s="105">
        <v>-11.7</v>
      </c>
      <c r="H13" s="105">
        <v>15</v>
      </c>
      <c r="I13" s="105">
        <v>18.399999999999999</v>
      </c>
      <c r="J13" s="105">
        <v>22.7</v>
      </c>
      <c r="K13" s="26"/>
    </row>
    <row r="14" spans="1:14" ht="17.25" customHeight="1" x14ac:dyDescent="0.2">
      <c r="A14" s="107" t="s">
        <v>25</v>
      </c>
      <c r="B14" s="105">
        <v>4.5999999999999996</v>
      </c>
      <c r="C14" s="105">
        <v>6.4</v>
      </c>
      <c r="D14" s="105">
        <v>39.1</v>
      </c>
      <c r="E14" s="106">
        <v>3252</v>
      </c>
      <c r="F14" s="106">
        <v>2870</v>
      </c>
      <c r="G14" s="105">
        <v>-11.7</v>
      </c>
      <c r="H14" s="105">
        <v>15</v>
      </c>
      <c r="I14" s="105">
        <v>18.399999999999999</v>
      </c>
      <c r="J14" s="105">
        <v>22.7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2.2000000000000002</v>
      </c>
      <c r="C16" s="105">
        <v>1.9</v>
      </c>
      <c r="D16" s="105">
        <v>-13.6</v>
      </c>
      <c r="E16" s="106">
        <v>731</v>
      </c>
      <c r="F16" s="106">
        <v>853</v>
      </c>
      <c r="G16" s="105">
        <v>16.7</v>
      </c>
      <c r="H16" s="105">
        <v>1.6</v>
      </c>
      <c r="I16" s="105">
        <v>1.6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2.2000000000000002</v>
      </c>
      <c r="C17" s="105">
        <v>1.9</v>
      </c>
      <c r="D17" s="105">
        <v>-13.6</v>
      </c>
      <c r="E17" s="106">
        <v>731</v>
      </c>
      <c r="F17" s="106">
        <v>853</v>
      </c>
      <c r="G17" s="105">
        <v>16.7</v>
      </c>
      <c r="H17" s="105">
        <v>1.6</v>
      </c>
      <c r="I17" s="105">
        <v>1.6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2.2000000000000002</v>
      </c>
      <c r="C20" s="105">
        <v>1.9</v>
      </c>
      <c r="D20" s="105">
        <v>-13.6</v>
      </c>
      <c r="E20" s="106">
        <v>731</v>
      </c>
      <c r="F20" s="106">
        <v>853</v>
      </c>
      <c r="G20" s="105">
        <v>16.7</v>
      </c>
      <c r="H20" s="105">
        <v>1.6</v>
      </c>
      <c r="I20" s="105">
        <v>1.6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8.3000000000000007</v>
      </c>
      <c r="C32" s="105">
        <v>8</v>
      </c>
      <c r="D32" s="105">
        <v>-3.6</v>
      </c>
      <c r="E32" s="106">
        <v>3005</v>
      </c>
      <c r="F32" s="106">
        <v>2571</v>
      </c>
      <c r="G32" s="105">
        <v>-14.4</v>
      </c>
      <c r="H32" s="105">
        <v>24.9</v>
      </c>
      <c r="I32" s="105">
        <v>20.6</v>
      </c>
      <c r="J32" s="105">
        <v>-17.3</v>
      </c>
      <c r="K32" s="26"/>
    </row>
    <row r="33" spans="1:14" ht="17.25" customHeight="1" x14ac:dyDescent="0.2">
      <c r="A33" s="107" t="s">
        <v>41</v>
      </c>
      <c r="B33" s="105">
        <v>8.3000000000000007</v>
      </c>
      <c r="C33" s="105">
        <v>8</v>
      </c>
      <c r="D33" s="105">
        <v>-3.6</v>
      </c>
      <c r="E33" s="106">
        <v>3005</v>
      </c>
      <c r="F33" s="106">
        <v>2571</v>
      </c>
      <c r="G33" s="105">
        <v>-14.4</v>
      </c>
      <c r="H33" s="105">
        <v>24.9</v>
      </c>
      <c r="I33" s="105">
        <v>20.6</v>
      </c>
      <c r="J33" s="105">
        <v>-17.3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13.5</v>
      </c>
      <c r="C36" s="105">
        <v>18.2</v>
      </c>
      <c r="D36" s="105">
        <v>34.799999999999997</v>
      </c>
      <c r="E36" s="106">
        <v>3330</v>
      </c>
      <c r="F36" s="106">
        <v>3233</v>
      </c>
      <c r="G36" s="105">
        <v>-2.9</v>
      </c>
      <c r="H36" s="105">
        <v>45</v>
      </c>
      <c r="I36" s="105">
        <v>58.8</v>
      </c>
      <c r="J36" s="105">
        <v>30.7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28.6</v>
      </c>
      <c r="C38" s="114">
        <v>34.5</v>
      </c>
      <c r="D38" s="114">
        <v>20.6</v>
      </c>
      <c r="E38" s="115">
        <v>3024</v>
      </c>
      <c r="F38" s="115">
        <v>2881</v>
      </c>
      <c r="G38" s="114">
        <v>-4.7</v>
      </c>
      <c r="H38" s="114">
        <v>86.5</v>
      </c>
      <c r="I38" s="114">
        <v>99.4</v>
      </c>
      <c r="J38" s="116">
        <v>14.9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180</v>
      </c>
      <c r="B49" s="122">
        <v>28.6</v>
      </c>
      <c r="C49" s="122">
        <v>34.5</v>
      </c>
      <c r="D49" s="123">
        <v>20.6</v>
      </c>
      <c r="E49" s="124">
        <v>3024</v>
      </c>
      <c r="F49" s="124">
        <v>2881</v>
      </c>
      <c r="G49" s="123">
        <v>-4.7</v>
      </c>
      <c r="H49" s="122">
        <v>86.5</v>
      </c>
      <c r="I49" s="122">
        <v>99.4</v>
      </c>
      <c r="J49" s="125">
        <v>14.9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10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0.9</v>
      </c>
      <c r="C13" s="105">
        <v>0.6</v>
      </c>
      <c r="D13" s="105">
        <v>-33.299999999999997</v>
      </c>
      <c r="E13" s="106">
        <v>1030</v>
      </c>
      <c r="F13" s="106">
        <v>1016.0000000000001</v>
      </c>
      <c r="G13" s="105">
        <v>-1.4</v>
      </c>
      <c r="H13" s="105">
        <v>0.9</v>
      </c>
      <c r="I13" s="105">
        <v>0.6</v>
      </c>
      <c r="J13" s="105">
        <v>-33.299999999999997</v>
      </c>
      <c r="K13" s="26"/>
    </row>
    <row r="14" spans="1:14" ht="17.25" customHeight="1" x14ac:dyDescent="0.2">
      <c r="A14" s="107" t="s">
        <v>25</v>
      </c>
      <c r="B14" s="105">
        <v>0.9</v>
      </c>
      <c r="C14" s="105">
        <v>0.6</v>
      </c>
      <c r="D14" s="105">
        <v>-33.299999999999997</v>
      </c>
      <c r="E14" s="106">
        <v>1030</v>
      </c>
      <c r="F14" s="106">
        <v>1016</v>
      </c>
      <c r="G14" s="105">
        <v>-1.4</v>
      </c>
      <c r="H14" s="105">
        <v>0.9</v>
      </c>
      <c r="I14" s="105">
        <v>0.6</v>
      </c>
      <c r="J14" s="105">
        <v>-33.299999999999997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1.1000000000000001</v>
      </c>
      <c r="C16" s="105">
        <v>0.7</v>
      </c>
      <c r="D16" s="105">
        <v>-36.4</v>
      </c>
      <c r="E16" s="106">
        <v>909</v>
      </c>
      <c r="F16" s="106">
        <v>957.99999999999989</v>
      </c>
      <c r="G16" s="105">
        <v>5.4</v>
      </c>
      <c r="H16" s="105">
        <v>1</v>
      </c>
      <c r="I16" s="105">
        <v>0.7</v>
      </c>
      <c r="J16" s="105">
        <v>-30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1.1000000000000001</v>
      </c>
      <c r="C21" s="105">
        <v>0.7</v>
      </c>
      <c r="D21" s="105">
        <v>-36.4</v>
      </c>
      <c r="E21" s="106">
        <v>909</v>
      </c>
      <c r="F21" s="106">
        <v>957.99999999999989</v>
      </c>
      <c r="G21" s="105">
        <v>5.4</v>
      </c>
      <c r="H21" s="105">
        <v>1</v>
      </c>
      <c r="I21" s="105">
        <v>0.7</v>
      </c>
      <c r="J21" s="105">
        <v>-30</v>
      </c>
      <c r="K21" s="26"/>
    </row>
    <row r="22" spans="1:12" s="1" customFormat="1" ht="17.25" customHeight="1" x14ac:dyDescent="0.2">
      <c r="A22" s="111" t="s">
        <v>32</v>
      </c>
      <c r="B22" s="105">
        <v>1.1000000000000001</v>
      </c>
      <c r="C22" s="105">
        <v>0.7</v>
      </c>
      <c r="D22" s="105">
        <v>-36.4</v>
      </c>
      <c r="E22" s="106">
        <v>909</v>
      </c>
      <c r="F22" s="106">
        <v>958</v>
      </c>
      <c r="G22" s="105">
        <v>5.4</v>
      </c>
      <c r="H22" s="105">
        <v>1</v>
      </c>
      <c r="I22" s="105">
        <v>0.7</v>
      </c>
      <c r="J22" s="105">
        <v>-30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</v>
      </c>
      <c r="C32" s="105">
        <v>2</v>
      </c>
      <c r="D32" s="105">
        <v>0</v>
      </c>
      <c r="E32" s="106">
        <v>969</v>
      </c>
      <c r="F32" s="106">
        <v>977</v>
      </c>
      <c r="G32" s="105">
        <v>0.8</v>
      </c>
      <c r="H32" s="105">
        <v>1.9</v>
      </c>
      <c r="I32" s="105">
        <v>2</v>
      </c>
      <c r="J32" s="105">
        <v>5.3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</v>
      </c>
      <c r="C35" s="105">
        <v>2</v>
      </c>
      <c r="D35" s="105">
        <v>0</v>
      </c>
      <c r="E35" s="106">
        <v>969</v>
      </c>
      <c r="F35" s="106">
        <v>977</v>
      </c>
      <c r="G35" s="105">
        <v>0.8</v>
      </c>
      <c r="H35" s="105">
        <v>1.9</v>
      </c>
      <c r="I35" s="105">
        <v>2</v>
      </c>
      <c r="J35" s="105">
        <v>5.3</v>
      </c>
      <c r="K35" s="26"/>
    </row>
    <row r="36" spans="1:14" ht="17.25" customHeight="1" x14ac:dyDescent="0.2">
      <c r="A36" s="104" t="s">
        <v>44</v>
      </c>
      <c r="B36" s="105">
        <v>10</v>
      </c>
      <c r="C36" s="105">
        <v>12</v>
      </c>
      <c r="D36" s="105">
        <v>20</v>
      </c>
      <c r="E36" s="106">
        <v>2618</v>
      </c>
      <c r="F36" s="106">
        <v>2650</v>
      </c>
      <c r="G36" s="105">
        <v>1.2</v>
      </c>
      <c r="H36" s="105">
        <v>26.2</v>
      </c>
      <c r="I36" s="105">
        <v>31.8</v>
      </c>
      <c r="J36" s="105">
        <v>21.4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14</v>
      </c>
      <c r="C38" s="114">
        <v>15.3</v>
      </c>
      <c r="D38" s="114">
        <v>9.3000000000000007</v>
      </c>
      <c r="E38" s="115">
        <v>2143</v>
      </c>
      <c r="F38" s="115">
        <v>2294</v>
      </c>
      <c r="G38" s="114">
        <v>7</v>
      </c>
      <c r="H38" s="114">
        <v>30</v>
      </c>
      <c r="I38" s="114">
        <v>35.1</v>
      </c>
      <c r="J38" s="116">
        <v>17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181</v>
      </c>
      <c r="B49" s="122">
        <v>14</v>
      </c>
      <c r="C49" s="122">
        <v>15.3</v>
      </c>
      <c r="D49" s="123">
        <v>9.3000000000000007</v>
      </c>
      <c r="E49" s="124">
        <v>2143</v>
      </c>
      <c r="F49" s="124">
        <v>2294</v>
      </c>
      <c r="G49" s="123">
        <v>7</v>
      </c>
      <c r="H49" s="122">
        <v>30</v>
      </c>
      <c r="I49" s="122">
        <v>35.1</v>
      </c>
      <c r="J49" s="125">
        <v>17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413.1</v>
      </c>
      <c r="C8" s="105">
        <v>425.1</v>
      </c>
      <c r="D8" s="105">
        <v>2.9</v>
      </c>
      <c r="E8" s="106">
        <v>2824.6</v>
      </c>
      <c r="F8" s="106">
        <v>3025.86</v>
      </c>
      <c r="G8" s="105">
        <v>7.1</v>
      </c>
      <c r="H8" s="105">
        <v>1166.8</v>
      </c>
      <c r="I8" s="105">
        <v>1286.1999999999998</v>
      </c>
      <c r="J8" s="105">
        <v>10.199999999999999</v>
      </c>
      <c r="K8" s="26"/>
    </row>
    <row r="9" spans="1:14" ht="17.25" customHeight="1" x14ac:dyDescent="0.2">
      <c r="A9" s="104" t="s">
        <v>111</v>
      </c>
      <c r="B9" s="105">
        <v>413.1</v>
      </c>
      <c r="C9" s="105">
        <v>425.1</v>
      </c>
      <c r="D9" s="105">
        <v>2.9</v>
      </c>
      <c r="E9" s="106">
        <v>2045</v>
      </c>
      <c r="F9" s="106">
        <v>2191.14</v>
      </c>
      <c r="G9" s="105">
        <v>7.1</v>
      </c>
      <c r="H9" s="105">
        <v>845</v>
      </c>
      <c r="I9" s="105">
        <v>931.5</v>
      </c>
      <c r="J9" s="105">
        <v>10.199999999999999</v>
      </c>
      <c r="K9" s="26"/>
    </row>
    <row r="10" spans="1:14" ht="17.25" customHeight="1" x14ac:dyDescent="0.2">
      <c r="A10" s="104" t="s">
        <v>21</v>
      </c>
      <c r="B10" s="105">
        <v>2.6</v>
      </c>
      <c r="C10" s="105">
        <v>2.6</v>
      </c>
      <c r="D10" s="105">
        <v>0</v>
      </c>
      <c r="E10" s="106">
        <v>1077</v>
      </c>
      <c r="F10" s="106">
        <v>1057</v>
      </c>
      <c r="G10" s="105">
        <v>-1.9</v>
      </c>
      <c r="H10" s="105">
        <v>2.8</v>
      </c>
      <c r="I10" s="105">
        <v>2.7</v>
      </c>
      <c r="J10" s="105">
        <v>-3.6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2.6</v>
      </c>
      <c r="C12" s="105">
        <v>2.6</v>
      </c>
      <c r="D12" s="105">
        <v>0</v>
      </c>
      <c r="E12" s="106">
        <v>1077</v>
      </c>
      <c r="F12" s="106">
        <v>1057</v>
      </c>
      <c r="G12" s="105">
        <v>-1.9</v>
      </c>
      <c r="H12" s="105">
        <v>2.8</v>
      </c>
      <c r="I12" s="105">
        <v>2.7</v>
      </c>
      <c r="J12" s="105">
        <v>-3.6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377.29999999999995</v>
      </c>
      <c r="C16" s="105">
        <v>347.29999999999995</v>
      </c>
      <c r="D16" s="105">
        <v>-8</v>
      </c>
      <c r="E16" s="106">
        <v>770.9141266896371</v>
      </c>
      <c r="F16" s="106">
        <v>892.74575295133911</v>
      </c>
      <c r="G16" s="105">
        <v>15.8</v>
      </c>
      <c r="H16" s="105">
        <v>290.89999999999998</v>
      </c>
      <c r="I16" s="105">
        <v>310.10000000000002</v>
      </c>
      <c r="J16" s="105">
        <v>6.6</v>
      </c>
      <c r="K16" s="26"/>
    </row>
    <row r="17" spans="1:12" ht="17.25" customHeight="1" x14ac:dyDescent="0.2">
      <c r="A17" s="107" t="s">
        <v>31</v>
      </c>
      <c r="B17" s="105">
        <v>215.89999999999998</v>
      </c>
      <c r="C17" s="105">
        <v>185.9</v>
      </c>
      <c r="D17" s="105">
        <v>-13.9</v>
      </c>
      <c r="E17" s="106">
        <v>384.38397406206582</v>
      </c>
      <c r="F17" s="106">
        <v>794.98224852071007</v>
      </c>
      <c r="G17" s="105">
        <v>106.8</v>
      </c>
      <c r="H17" s="105">
        <v>83</v>
      </c>
      <c r="I17" s="105">
        <v>147.80000000000001</v>
      </c>
      <c r="J17" s="105">
        <v>78.099999999999994</v>
      </c>
      <c r="K17" s="26"/>
    </row>
    <row r="18" spans="1:12" s="1" customFormat="1" ht="17.25" customHeight="1" x14ac:dyDescent="0.2">
      <c r="A18" s="111" t="s">
        <v>32</v>
      </c>
      <c r="B18" s="105">
        <v>68.3</v>
      </c>
      <c r="C18" s="105">
        <v>72.2</v>
      </c>
      <c r="D18" s="105">
        <v>5.7</v>
      </c>
      <c r="E18" s="106">
        <v>275</v>
      </c>
      <c r="F18" s="106">
        <v>1017</v>
      </c>
      <c r="G18" s="105">
        <v>269.8</v>
      </c>
      <c r="H18" s="105">
        <v>18.8</v>
      </c>
      <c r="I18" s="105">
        <v>73.400000000000006</v>
      </c>
      <c r="J18" s="105">
        <v>290.39999999999998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147.6</v>
      </c>
      <c r="C20" s="105">
        <v>113.7</v>
      </c>
      <c r="D20" s="105">
        <v>-23</v>
      </c>
      <c r="E20" s="106">
        <v>435</v>
      </c>
      <c r="F20" s="106">
        <v>654</v>
      </c>
      <c r="G20" s="105">
        <v>50.3</v>
      </c>
      <c r="H20" s="105">
        <v>64.2</v>
      </c>
      <c r="I20" s="105">
        <v>74.400000000000006</v>
      </c>
      <c r="J20" s="105">
        <v>15.9</v>
      </c>
      <c r="K20" s="51"/>
      <c r="L20" s="2"/>
    </row>
    <row r="21" spans="1:12" ht="17.25" customHeight="1" x14ac:dyDescent="0.2">
      <c r="A21" s="107" t="s">
        <v>35</v>
      </c>
      <c r="B21" s="105">
        <v>95</v>
      </c>
      <c r="C21" s="105">
        <v>95</v>
      </c>
      <c r="D21" s="105">
        <v>0</v>
      </c>
      <c r="E21" s="106">
        <v>1710.5263157894738</v>
      </c>
      <c r="F21" s="106">
        <v>1531.578947368421</v>
      </c>
      <c r="G21" s="105">
        <v>-10.5</v>
      </c>
      <c r="H21" s="105">
        <v>162.5</v>
      </c>
      <c r="I21" s="105">
        <v>145.5</v>
      </c>
      <c r="J21" s="105">
        <v>-10.5</v>
      </c>
      <c r="K21" s="26"/>
    </row>
    <row r="22" spans="1:12" s="1" customFormat="1" ht="17.25" customHeight="1" x14ac:dyDescent="0.2">
      <c r="A22" s="111" t="s">
        <v>32</v>
      </c>
      <c r="B22" s="105">
        <v>25</v>
      </c>
      <c r="C22" s="105">
        <v>25</v>
      </c>
      <c r="D22" s="105">
        <v>0</v>
      </c>
      <c r="E22" s="106">
        <v>3140</v>
      </c>
      <c r="F22" s="106">
        <v>3300</v>
      </c>
      <c r="G22" s="105">
        <v>5.0999999999999996</v>
      </c>
      <c r="H22" s="105">
        <v>78.5</v>
      </c>
      <c r="I22" s="105">
        <v>82.5</v>
      </c>
      <c r="J22" s="105">
        <v>5.0999999999999996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70</v>
      </c>
      <c r="C24" s="105">
        <v>70</v>
      </c>
      <c r="D24" s="105">
        <v>0</v>
      </c>
      <c r="E24" s="106">
        <v>1200</v>
      </c>
      <c r="F24" s="106">
        <v>900</v>
      </c>
      <c r="G24" s="105">
        <v>-25</v>
      </c>
      <c r="H24" s="105">
        <v>84</v>
      </c>
      <c r="I24" s="105">
        <v>63</v>
      </c>
      <c r="J24" s="105">
        <v>-25</v>
      </c>
      <c r="K24" s="51"/>
      <c r="L24" s="2"/>
    </row>
    <row r="25" spans="1:12" ht="17.25" customHeight="1" x14ac:dyDescent="0.2">
      <c r="A25" s="107" t="s">
        <v>36</v>
      </c>
      <c r="B25" s="105">
        <v>66.399999999999991</v>
      </c>
      <c r="C25" s="105">
        <v>66.399999999999991</v>
      </c>
      <c r="D25" s="105">
        <v>0</v>
      </c>
      <c r="E25" s="106">
        <v>683.39457831325308</v>
      </c>
      <c r="F25" s="106">
        <v>252.46084337349399</v>
      </c>
      <c r="G25" s="105">
        <v>-63.1</v>
      </c>
      <c r="H25" s="105">
        <v>45.4</v>
      </c>
      <c r="I25" s="105">
        <v>16.8</v>
      </c>
      <c r="J25" s="105">
        <v>-63</v>
      </c>
      <c r="K25" s="26"/>
    </row>
    <row r="26" spans="1:12" s="1" customFormat="1" ht="17.25" customHeight="1" x14ac:dyDescent="0.2">
      <c r="A26" s="111" t="s">
        <v>32</v>
      </c>
      <c r="B26" s="105">
        <v>61.3</v>
      </c>
      <c r="C26" s="105">
        <v>61.3</v>
      </c>
      <c r="D26" s="105">
        <v>0</v>
      </c>
      <c r="E26" s="106">
        <v>690</v>
      </c>
      <c r="F26" s="106">
        <v>252</v>
      </c>
      <c r="G26" s="105">
        <v>-63.5</v>
      </c>
      <c r="H26" s="105">
        <v>42.3</v>
      </c>
      <c r="I26" s="105">
        <v>15.4</v>
      </c>
      <c r="J26" s="105">
        <v>-63.6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5.0999999999999996</v>
      </c>
      <c r="C28" s="105">
        <v>5.0999999999999996</v>
      </c>
      <c r="D28" s="105">
        <v>0</v>
      </c>
      <c r="E28" s="106">
        <v>604</v>
      </c>
      <c r="F28" s="106">
        <v>258</v>
      </c>
      <c r="G28" s="105">
        <v>-57.3</v>
      </c>
      <c r="H28" s="105">
        <v>3.1</v>
      </c>
      <c r="I28" s="105">
        <v>1.3</v>
      </c>
      <c r="J28" s="105">
        <v>-58.1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69.5</v>
      </c>
      <c r="C31" s="105">
        <v>70.599999999999994</v>
      </c>
      <c r="D31" s="105">
        <v>1.6</v>
      </c>
      <c r="E31" s="106">
        <v>1439</v>
      </c>
      <c r="F31" s="106">
        <v>1714</v>
      </c>
      <c r="G31" s="105">
        <v>19.100000000000001</v>
      </c>
      <c r="H31" s="105">
        <v>100</v>
      </c>
      <c r="I31" s="105">
        <v>121</v>
      </c>
      <c r="J31" s="105">
        <v>21</v>
      </c>
      <c r="K31" s="26"/>
    </row>
    <row r="32" spans="1:12" ht="17.25" customHeight="1" x14ac:dyDescent="0.2">
      <c r="A32" s="112" t="s">
        <v>40</v>
      </c>
      <c r="B32" s="105">
        <v>732.1</v>
      </c>
      <c r="C32" s="105">
        <v>778.6</v>
      </c>
      <c r="D32" s="105">
        <v>6.4</v>
      </c>
      <c r="E32" s="106">
        <v>3828.5642671766154</v>
      </c>
      <c r="F32" s="106">
        <v>4155.4274338556379</v>
      </c>
      <c r="G32" s="105">
        <v>8.5</v>
      </c>
      <c r="H32" s="105">
        <v>2802.9</v>
      </c>
      <c r="I32" s="105">
        <v>3235.4</v>
      </c>
      <c r="J32" s="105">
        <v>15.4</v>
      </c>
      <c r="K32" s="26"/>
    </row>
    <row r="33" spans="1:14" ht="17.25" customHeight="1" x14ac:dyDescent="0.2">
      <c r="A33" s="107" t="s">
        <v>41</v>
      </c>
      <c r="B33" s="105">
        <v>352.1</v>
      </c>
      <c r="C33" s="105">
        <v>361.6</v>
      </c>
      <c r="D33" s="105">
        <v>2.7</v>
      </c>
      <c r="E33" s="106">
        <v>3639</v>
      </c>
      <c r="F33" s="106">
        <v>5038</v>
      </c>
      <c r="G33" s="105">
        <v>38.4</v>
      </c>
      <c r="H33" s="105">
        <v>1281.3</v>
      </c>
      <c r="I33" s="105">
        <v>1821.7</v>
      </c>
      <c r="J33" s="105">
        <v>42.2</v>
      </c>
      <c r="K33" s="26"/>
    </row>
    <row r="34" spans="1:14" ht="17.25" customHeight="1" x14ac:dyDescent="0.2">
      <c r="A34" s="107" t="s">
        <v>42</v>
      </c>
      <c r="B34" s="105">
        <v>50</v>
      </c>
      <c r="C34" s="105">
        <v>50</v>
      </c>
      <c r="D34" s="105">
        <v>0</v>
      </c>
      <c r="E34" s="106">
        <v>3900</v>
      </c>
      <c r="F34" s="106">
        <v>2400</v>
      </c>
      <c r="G34" s="105">
        <v>-38.5</v>
      </c>
      <c r="H34" s="105">
        <v>195</v>
      </c>
      <c r="I34" s="105">
        <v>120</v>
      </c>
      <c r="J34" s="105">
        <v>-38.5</v>
      </c>
      <c r="K34" s="26"/>
    </row>
    <row r="35" spans="1:14" ht="17.25" customHeight="1" x14ac:dyDescent="0.2">
      <c r="A35" s="107" t="s">
        <v>43</v>
      </c>
      <c r="B35" s="105">
        <v>330</v>
      </c>
      <c r="C35" s="105">
        <v>367</v>
      </c>
      <c r="D35" s="105">
        <v>11.2</v>
      </c>
      <c r="E35" s="106">
        <v>4020</v>
      </c>
      <c r="F35" s="106">
        <v>3525</v>
      </c>
      <c r="G35" s="105">
        <v>-12.3</v>
      </c>
      <c r="H35" s="105">
        <v>1326.6</v>
      </c>
      <c r="I35" s="105">
        <v>1293.7</v>
      </c>
      <c r="J35" s="105">
        <v>-2.5</v>
      </c>
      <c r="K35" s="26"/>
    </row>
    <row r="36" spans="1:14" ht="17.25" customHeight="1" x14ac:dyDescent="0.2">
      <c r="A36" s="104" t="s">
        <v>44</v>
      </c>
      <c r="B36" s="105">
        <v>2135.6</v>
      </c>
      <c r="C36" s="105">
        <v>2218.9</v>
      </c>
      <c r="D36" s="105">
        <v>3.9</v>
      </c>
      <c r="E36" s="106">
        <v>4142</v>
      </c>
      <c r="F36" s="106">
        <v>4260</v>
      </c>
      <c r="G36" s="105">
        <v>2.8</v>
      </c>
      <c r="H36" s="105">
        <v>8845.7000000000007</v>
      </c>
      <c r="I36" s="105">
        <v>9452.5</v>
      </c>
      <c r="J36" s="105">
        <v>6.9</v>
      </c>
      <c r="K36" s="26"/>
    </row>
    <row r="37" spans="1:14" ht="17.25" customHeight="1" x14ac:dyDescent="0.2">
      <c r="A37" s="104" t="s">
        <v>45</v>
      </c>
      <c r="B37" s="105">
        <v>206</v>
      </c>
      <c r="C37" s="105">
        <v>236.5</v>
      </c>
      <c r="D37" s="105">
        <v>14.8</v>
      </c>
      <c r="E37" s="106">
        <v>3796</v>
      </c>
      <c r="F37" s="106">
        <v>3000</v>
      </c>
      <c r="G37" s="105">
        <v>-21</v>
      </c>
      <c r="H37" s="105">
        <v>782</v>
      </c>
      <c r="I37" s="105">
        <v>709.5</v>
      </c>
      <c r="J37" s="105">
        <v>-9.3000000000000007</v>
      </c>
      <c r="K37" s="26"/>
    </row>
    <row r="38" spans="1:14" ht="17.25" customHeight="1" x14ac:dyDescent="0.2">
      <c r="A38" s="113" t="s">
        <v>46</v>
      </c>
      <c r="B38" s="114">
        <v>3936.2</v>
      </c>
      <c r="C38" s="114">
        <v>4079.6000000000004</v>
      </c>
      <c r="D38" s="114">
        <v>3.6</v>
      </c>
      <c r="E38" s="115">
        <v>3554</v>
      </c>
      <c r="F38" s="115">
        <v>3706</v>
      </c>
      <c r="G38" s="114">
        <v>4.3</v>
      </c>
      <c r="H38" s="114">
        <v>13991.1</v>
      </c>
      <c r="I38" s="114">
        <v>15117.4</v>
      </c>
      <c r="J38" s="116">
        <v>8.1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5</v>
      </c>
      <c r="C46" s="105">
        <v>3.4</v>
      </c>
      <c r="D46" s="105">
        <v>-32</v>
      </c>
      <c r="E46" s="106">
        <v>6000</v>
      </c>
      <c r="F46" s="106">
        <v>6000</v>
      </c>
      <c r="G46" s="105">
        <v>0</v>
      </c>
      <c r="H46" s="105">
        <v>30</v>
      </c>
      <c r="I46" s="105">
        <v>20.399999999999999</v>
      </c>
      <c r="J46" s="105">
        <v>-32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5</v>
      </c>
      <c r="C48" s="118">
        <v>3.4</v>
      </c>
      <c r="D48" s="118">
        <v>-32</v>
      </c>
      <c r="E48" s="119">
        <v>6000</v>
      </c>
      <c r="F48" s="119">
        <v>6000</v>
      </c>
      <c r="G48" s="118">
        <v>0</v>
      </c>
      <c r="H48" s="118">
        <v>30</v>
      </c>
      <c r="I48" s="118">
        <v>20.399999999999999</v>
      </c>
      <c r="J48" s="120">
        <v>-32</v>
      </c>
      <c r="K48" s="26"/>
    </row>
    <row r="49" spans="1:17" ht="17.25" customHeight="1" x14ac:dyDescent="0.2">
      <c r="A49" s="121" t="s">
        <v>182</v>
      </c>
      <c r="B49" s="122">
        <v>3941.2</v>
      </c>
      <c r="C49" s="122">
        <v>4083.0000000000005</v>
      </c>
      <c r="D49" s="123">
        <v>3.6</v>
      </c>
      <c r="E49" s="124">
        <v>3558</v>
      </c>
      <c r="F49" s="124">
        <v>3708</v>
      </c>
      <c r="G49" s="123">
        <v>4.2</v>
      </c>
      <c r="H49" s="122">
        <v>14021.1</v>
      </c>
      <c r="I49" s="122">
        <v>15137.8</v>
      </c>
      <c r="J49" s="125">
        <v>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2.4</v>
      </c>
      <c r="C8" s="105">
        <v>4</v>
      </c>
      <c r="D8" s="105">
        <v>66.7</v>
      </c>
      <c r="E8" s="106">
        <v>1163.5</v>
      </c>
      <c r="F8" s="106">
        <v>983.45</v>
      </c>
      <c r="G8" s="105">
        <v>-15.5</v>
      </c>
      <c r="H8" s="105">
        <v>2.8</v>
      </c>
      <c r="I8" s="105">
        <v>3.9999999999999996</v>
      </c>
      <c r="J8" s="105">
        <v>42.9</v>
      </c>
      <c r="K8" s="26"/>
    </row>
    <row r="9" spans="1:14" ht="17.25" customHeight="1" x14ac:dyDescent="0.2">
      <c r="A9" s="104" t="s">
        <v>111</v>
      </c>
      <c r="B9" s="105">
        <v>2.4</v>
      </c>
      <c r="C9" s="105">
        <v>4</v>
      </c>
      <c r="D9" s="105">
        <v>66.7</v>
      </c>
      <c r="E9" s="106">
        <v>626.5</v>
      </c>
      <c r="F9" s="106">
        <v>529.54999999999995</v>
      </c>
      <c r="G9" s="105">
        <v>-15.5</v>
      </c>
      <c r="H9" s="105">
        <v>1.5</v>
      </c>
      <c r="I9" s="105">
        <v>2.1</v>
      </c>
      <c r="J9" s="105">
        <v>40</v>
      </c>
      <c r="K9" s="26"/>
    </row>
    <row r="10" spans="1:14" ht="17.25" customHeight="1" x14ac:dyDescent="0.2">
      <c r="A10" s="104" t="s">
        <v>21</v>
      </c>
      <c r="B10" s="105">
        <v>0.6</v>
      </c>
      <c r="C10" s="105">
        <v>0.6</v>
      </c>
      <c r="D10" s="105">
        <v>0</v>
      </c>
      <c r="E10" s="106">
        <v>911.00000000000011</v>
      </c>
      <c r="F10" s="106">
        <v>1125</v>
      </c>
      <c r="G10" s="105">
        <v>23.5</v>
      </c>
      <c r="H10" s="105">
        <v>0.5</v>
      </c>
      <c r="I10" s="105">
        <v>0.7</v>
      </c>
      <c r="J10" s="105">
        <v>40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0.6</v>
      </c>
      <c r="C12" s="105">
        <v>0.6</v>
      </c>
      <c r="D12" s="105">
        <v>0</v>
      </c>
      <c r="E12" s="106">
        <v>911</v>
      </c>
      <c r="F12" s="106">
        <v>1125</v>
      </c>
      <c r="G12" s="105">
        <v>23.5</v>
      </c>
      <c r="H12" s="105">
        <v>0.5</v>
      </c>
      <c r="I12" s="105">
        <v>0.7</v>
      </c>
      <c r="J12" s="105">
        <v>40</v>
      </c>
      <c r="K12" s="26"/>
    </row>
    <row r="13" spans="1:14" ht="17.25" customHeight="1" x14ac:dyDescent="0.2">
      <c r="A13" s="104" t="s">
        <v>24</v>
      </c>
      <c r="B13" s="105">
        <v>4.4000000000000004</v>
      </c>
      <c r="C13" s="105">
        <v>3.5</v>
      </c>
      <c r="D13" s="105">
        <v>-20.5</v>
      </c>
      <c r="E13" s="106">
        <v>2340.7499999999995</v>
      </c>
      <c r="F13" s="106">
        <v>2471.4</v>
      </c>
      <c r="G13" s="105">
        <v>5.6</v>
      </c>
      <c r="H13" s="105">
        <v>10.3</v>
      </c>
      <c r="I13" s="105">
        <v>8.6</v>
      </c>
      <c r="J13" s="105">
        <v>-16.5</v>
      </c>
      <c r="K13" s="26"/>
    </row>
    <row r="14" spans="1:14" ht="17.25" customHeight="1" x14ac:dyDescent="0.2">
      <c r="A14" s="107" t="s">
        <v>25</v>
      </c>
      <c r="B14" s="105">
        <v>3.3</v>
      </c>
      <c r="C14" s="105">
        <v>2.8</v>
      </c>
      <c r="D14" s="105">
        <v>-15.2</v>
      </c>
      <c r="E14" s="106">
        <v>883</v>
      </c>
      <c r="F14" s="106">
        <v>1292</v>
      </c>
      <c r="G14" s="105">
        <v>46.3</v>
      </c>
      <c r="H14" s="105">
        <v>2.9</v>
      </c>
      <c r="I14" s="105">
        <v>3.6</v>
      </c>
      <c r="J14" s="105">
        <v>24.1</v>
      </c>
      <c r="K14" s="26"/>
    </row>
    <row r="15" spans="1:14" ht="17.25" customHeight="1" x14ac:dyDescent="0.2">
      <c r="A15" s="107" t="s">
        <v>26</v>
      </c>
      <c r="B15" s="105">
        <v>1.1000000000000001</v>
      </c>
      <c r="C15" s="105">
        <v>0.7</v>
      </c>
      <c r="D15" s="105">
        <v>-36.4</v>
      </c>
      <c r="E15" s="106">
        <v>6714</v>
      </c>
      <c r="F15" s="106">
        <v>7189</v>
      </c>
      <c r="G15" s="105">
        <v>7.1</v>
      </c>
      <c r="H15" s="105">
        <v>7.4</v>
      </c>
      <c r="I15" s="105">
        <v>5</v>
      </c>
      <c r="J15" s="105">
        <v>-32.4</v>
      </c>
      <c r="K15" s="26"/>
    </row>
    <row r="16" spans="1:14" ht="17.25" customHeight="1" x14ac:dyDescent="0.2">
      <c r="A16" s="104" t="s">
        <v>27</v>
      </c>
      <c r="B16" s="105">
        <v>336.40000000000003</v>
      </c>
      <c r="C16" s="105">
        <v>323.5</v>
      </c>
      <c r="D16" s="105">
        <v>-3.8</v>
      </c>
      <c r="E16" s="106">
        <v>157.35463733650417</v>
      </c>
      <c r="F16" s="106">
        <v>365.16939721792886</v>
      </c>
      <c r="G16" s="105">
        <v>132.1</v>
      </c>
      <c r="H16" s="105">
        <v>52.9</v>
      </c>
      <c r="I16" s="105">
        <v>118.1</v>
      </c>
      <c r="J16" s="105">
        <v>123.3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336.40000000000003</v>
      </c>
      <c r="C21" s="105">
        <v>323.5</v>
      </c>
      <c r="D21" s="105">
        <v>-3.8</v>
      </c>
      <c r="E21" s="106">
        <v>157.35463733650417</v>
      </c>
      <c r="F21" s="106">
        <v>365.16939721792886</v>
      </c>
      <c r="G21" s="105">
        <v>132.1</v>
      </c>
      <c r="H21" s="105">
        <v>52.9</v>
      </c>
      <c r="I21" s="105">
        <v>118.1</v>
      </c>
      <c r="J21" s="105">
        <v>123.3</v>
      </c>
      <c r="K21" s="26"/>
    </row>
    <row r="22" spans="1:12" s="1" customFormat="1" ht="17.25" customHeight="1" x14ac:dyDescent="0.2">
      <c r="A22" s="111" t="s">
        <v>32</v>
      </c>
      <c r="B22" s="105">
        <v>6.1</v>
      </c>
      <c r="C22" s="105">
        <v>5.8</v>
      </c>
      <c r="D22" s="105">
        <v>-4.9000000000000004</v>
      </c>
      <c r="E22" s="106">
        <v>339</v>
      </c>
      <c r="F22" s="106">
        <v>484</v>
      </c>
      <c r="G22" s="105">
        <v>42.8</v>
      </c>
      <c r="H22" s="105">
        <v>2.1</v>
      </c>
      <c r="I22" s="105">
        <v>2.8</v>
      </c>
      <c r="J22" s="105">
        <v>33.299999999999997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330.3</v>
      </c>
      <c r="C24" s="105">
        <v>317.7</v>
      </c>
      <c r="D24" s="105">
        <v>-3.8</v>
      </c>
      <c r="E24" s="106">
        <v>154</v>
      </c>
      <c r="F24" s="106">
        <v>363</v>
      </c>
      <c r="G24" s="105">
        <v>135.69999999999999</v>
      </c>
      <c r="H24" s="105">
        <v>50.9</v>
      </c>
      <c r="I24" s="105">
        <v>115.3</v>
      </c>
      <c r="J24" s="105">
        <v>126.5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0.1</v>
      </c>
      <c r="C31" s="105">
        <v>0.1</v>
      </c>
      <c r="D31" s="105">
        <v>0</v>
      </c>
      <c r="E31" s="106">
        <v>167</v>
      </c>
      <c r="F31" s="106">
        <v>512</v>
      </c>
      <c r="G31" s="105">
        <v>206.6</v>
      </c>
      <c r="H31" s="105">
        <v>0.02</v>
      </c>
      <c r="I31" s="105">
        <v>0.05</v>
      </c>
      <c r="J31" s="105">
        <v>150</v>
      </c>
      <c r="K31" s="26"/>
    </row>
    <row r="32" spans="1:12" ht="17.25" customHeight="1" x14ac:dyDescent="0.2">
      <c r="A32" s="112" t="s">
        <v>40</v>
      </c>
      <c r="B32" s="105">
        <v>591</v>
      </c>
      <c r="C32" s="105">
        <v>583.9</v>
      </c>
      <c r="D32" s="105">
        <v>-1.2</v>
      </c>
      <c r="E32" s="106">
        <v>466</v>
      </c>
      <c r="F32" s="106">
        <v>1254</v>
      </c>
      <c r="G32" s="105">
        <v>169.1</v>
      </c>
      <c r="H32" s="105">
        <v>275.39999999999998</v>
      </c>
      <c r="I32" s="105">
        <v>732.2</v>
      </c>
      <c r="J32" s="105">
        <v>165.9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591</v>
      </c>
      <c r="C34" s="105">
        <v>583.9</v>
      </c>
      <c r="D34" s="105">
        <v>-1.2</v>
      </c>
      <c r="E34" s="106">
        <v>466</v>
      </c>
      <c r="F34" s="106">
        <v>1254</v>
      </c>
      <c r="G34" s="105">
        <v>169.1</v>
      </c>
      <c r="H34" s="105">
        <v>275.39999999999998</v>
      </c>
      <c r="I34" s="105">
        <v>732.2</v>
      </c>
      <c r="J34" s="105">
        <v>165.9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3.8</v>
      </c>
      <c r="C36" s="105">
        <v>4.2</v>
      </c>
      <c r="D36" s="105">
        <v>10.5</v>
      </c>
      <c r="E36" s="106">
        <v>3749</v>
      </c>
      <c r="F36" s="106">
        <v>3718</v>
      </c>
      <c r="G36" s="105">
        <v>-0.8</v>
      </c>
      <c r="H36" s="105">
        <v>14.2</v>
      </c>
      <c r="I36" s="105">
        <v>15.6</v>
      </c>
      <c r="J36" s="105">
        <v>9.9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938.7</v>
      </c>
      <c r="C38" s="114">
        <v>919.80000000000007</v>
      </c>
      <c r="D38" s="114">
        <v>-2</v>
      </c>
      <c r="E38" s="115">
        <v>379</v>
      </c>
      <c r="F38" s="115">
        <v>956</v>
      </c>
      <c r="G38" s="114">
        <v>152.19999999999999</v>
      </c>
      <c r="H38" s="114">
        <v>356.11999999999995</v>
      </c>
      <c r="I38" s="114">
        <v>879.25000000000011</v>
      </c>
      <c r="J38" s="116">
        <v>146.9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183</v>
      </c>
      <c r="B49" s="122">
        <v>938.7</v>
      </c>
      <c r="C49" s="122">
        <v>919.80000000000007</v>
      </c>
      <c r="D49" s="123">
        <v>-2</v>
      </c>
      <c r="E49" s="124">
        <v>379</v>
      </c>
      <c r="F49" s="124">
        <v>956</v>
      </c>
      <c r="G49" s="123">
        <v>152.19999999999999</v>
      </c>
      <c r="H49" s="122">
        <v>356.11999999999995</v>
      </c>
      <c r="I49" s="122">
        <v>879.25000000000011</v>
      </c>
      <c r="J49" s="125">
        <v>146.9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29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0.4</v>
      </c>
      <c r="D13" s="105">
        <v>0</v>
      </c>
      <c r="E13" s="106">
        <v>6275</v>
      </c>
      <c r="F13" s="106">
        <v>6397.9999999999991</v>
      </c>
      <c r="G13" s="105">
        <v>2</v>
      </c>
      <c r="H13" s="105">
        <v>2.5</v>
      </c>
      <c r="I13" s="105">
        <v>2.5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4100</v>
      </c>
      <c r="F14" s="106">
        <v>4172</v>
      </c>
      <c r="G14" s="105">
        <v>1.8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0.3</v>
      </c>
      <c r="C15" s="105">
        <v>0.3</v>
      </c>
      <c r="D15" s="105">
        <v>0</v>
      </c>
      <c r="E15" s="106">
        <v>7000</v>
      </c>
      <c r="F15" s="106">
        <v>7140</v>
      </c>
      <c r="G15" s="105">
        <v>2</v>
      </c>
      <c r="H15" s="105">
        <v>2.1</v>
      </c>
      <c r="I15" s="105">
        <v>2.1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14.9</v>
      </c>
      <c r="C16" s="105">
        <v>14.7</v>
      </c>
      <c r="D16" s="105">
        <v>-1.3</v>
      </c>
      <c r="E16" s="106">
        <v>2617.5167785234898</v>
      </c>
      <c r="F16" s="106">
        <v>2599.5510204081634</v>
      </c>
      <c r="G16" s="105">
        <v>-0.7</v>
      </c>
      <c r="H16" s="105">
        <v>39</v>
      </c>
      <c r="I16" s="105">
        <v>38.200000000000003</v>
      </c>
      <c r="J16" s="105">
        <v>-2.1</v>
      </c>
      <c r="K16" s="26"/>
    </row>
    <row r="17" spans="1:12" ht="17.25" customHeight="1" x14ac:dyDescent="0.2">
      <c r="A17" s="107" t="s">
        <v>31</v>
      </c>
      <c r="B17" s="105">
        <v>11</v>
      </c>
      <c r="C17" s="105">
        <v>11</v>
      </c>
      <c r="D17" s="105">
        <v>0</v>
      </c>
      <c r="E17" s="106">
        <v>2464.818181818182</v>
      </c>
      <c r="F17" s="106">
        <v>2455</v>
      </c>
      <c r="G17" s="105">
        <v>-0.4</v>
      </c>
      <c r="H17" s="105">
        <v>27.1</v>
      </c>
      <c r="I17" s="105">
        <v>27</v>
      </c>
      <c r="J17" s="105">
        <v>-0.4</v>
      </c>
      <c r="K17" s="26"/>
    </row>
    <row r="18" spans="1:12" s="1" customFormat="1" ht="17.25" customHeight="1" x14ac:dyDescent="0.2">
      <c r="A18" s="111" t="s">
        <v>32</v>
      </c>
      <c r="B18" s="105">
        <v>10</v>
      </c>
      <c r="C18" s="105">
        <v>10</v>
      </c>
      <c r="D18" s="105">
        <v>0</v>
      </c>
      <c r="E18" s="106">
        <v>2520</v>
      </c>
      <c r="F18" s="106">
        <v>2510</v>
      </c>
      <c r="G18" s="105">
        <v>-0.4</v>
      </c>
      <c r="H18" s="105">
        <v>25.2</v>
      </c>
      <c r="I18" s="105">
        <v>25.1</v>
      </c>
      <c r="J18" s="105">
        <v>-0.4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</v>
      </c>
      <c r="C19" s="105">
        <v>1</v>
      </c>
      <c r="D19" s="105">
        <v>0</v>
      </c>
      <c r="E19" s="106">
        <v>1913</v>
      </c>
      <c r="F19" s="106">
        <v>1905</v>
      </c>
      <c r="G19" s="105">
        <v>-0.4</v>
      </c>
      <c r="H19" s="105">
        <v>1.9</v>
      </c>
      <c r="I19" s="105">
        <v>1.9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3.9</v>
      </c>
      <c r="C25" s="105">
        <v>3.7</v>
      </c>
      <c r="D25" s="105">
        <v>-5.0999999999999996</v>
      </c>
      <c r="E25" s="106">
        <v>3048.2051282051284</v>
      </c>
      <c r="F25" s="106">
        <v>3029.2972972972971</v>
      </c>
      <c r="G25" s="105">
        <v>-0.6</v>
      </c>
      <c r="H25" s="105">
        <v>11.9</v>
      </c>
      <c r="I25" s="105">
        <v>11.2</v>
      </c>
      <c r="J25" s="105">
        <v>-5.9</v>
      </c>
      <c r="K25" s="26"/>
    </row>
    <row r="26" spans="1:12" s="1" customFormat="1" ht="17.25" customHeight="1" x14ac:dyDescent="0.2">
      <c r="A26" s="111" t="s">
        <v>32</v>
      </c>
      <c r="B26" s="105">
        <v>3.4</v>
      </c>
      <c r="C26" s="105">
        <v>3.2</v>
      </c>
      <c r="D26" s="105">
        <v>-5.9</v>
      </c>
      <c r="E26" s="106">
        <v>3065</v>
      </c>
      <c r="F26" s="106">
        <v>3047</v>
      </c>
      <c r="G26" s="105">
        <v>-0.6</v>
      </c>
      <c r="H26" s="105">
        <v>10.4</v>
      </c>
      <c r="I26" s="105">
        <v>9.8000000000000007</v>
      </c>
      <c r="J26" s="105">
        <v>-5.8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0.5</v>
      </c>
      <c r="C27" s="105">
        <v>0.5</v>
      </c>
      <c r="D27" s="105">
        <v>0</v>
      </c>
      <c r="E27" s="106">
        <v>2934</v>
      </c>
      <c r="F27" s="106">
        <v>2916</v>
      </c>
      <c r="G27" s="105">
        <v>-0.6</v>
      </c>
      <c r="H27" s="105">
        <v>1.5</v>
      </c>
      <c r="I27" s="105">
        <v>1.5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0.6</v>
      </c>
      <c r="C30" s="105">
        <v>0.5</v>
      </c>
      <c r="D30" s="105">
        <v>-16.7</v>
      </c>
      <c r="E30" s="106">
        <v>2112</v>
      </c>
      <c r="F30" s="106">
        <v>2050</v>
      </c>
      <c r="G30" s="105">
        <v>-2.9</v>
      </c>
      <c r="H30" s="105">
        <v>1.3</v>
      </c>
      <c r="I30" s="105">
        <v>1</v>
      </c>
      <c r="J30" s="105">
        <v>-23.1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56.2</v>
      </c>
      <c r="C32" s="105">
        <v>57.5</v>
      </c>
      <c r="D32" s="105">
        <v>2.2999999999999998</v>
      </c>
      <c r="E32" s="106">
        <v>7394.5818505338075</v>
      </c>
      <c r="F32" s="106">
        <v>7036.0260869565218</v>
      </c>
      <c r="G32" s="105">
        <v>-4.8</v>
      </c>
      <c r="H32" s="105">
        <v>415.6</v>
      </c>
      <c r="I32" s="105">
        <v>404.6</v>
      </c>
      <c r="J32" s="105">
        <v>-2.6</v>
      </c>
      <c r="K32" s="26"/>
    </row>
    <row r="33" spans="1:14" ht="17.25" customHeight="1" x14ac:dyDescent="0.2">
      <c r="A33" s="107" t="s">
        <v>41</v>
      </c>
      <c r="B33" s="105">
        <v>15.5</v>
      </c>
      <c r="C33" s="105">
        <v>14.5</v>
      </c>
      <c r="D33" s="105">
        <v>-6.5</v>
      </c>
      <c r="E33" s="106">
        <v>9481</v>
      </c>
      <c r="F33" s="106">
        <v>9367</v>
      </c>
      <c r="G33" s="105">
        <v>-1.2</v>
      </c>
      <c r="H33" s="105">
        <v>147</v>
      </c>
      <c r="I33" s="105">
        <v>135.80000000000001</v>
      </c>
      <c r="J33" s="105">
        <v>-7.6</v>
      </c>
      <c r="K33" s="26"/>
    </row>
    <row r="34" spans="1:14" ht="17.25" customHeight="1" x14ac:dyDescent="0.2">
      <c r="A34" s="107" t="s">
        <v>42</v>
      </c>
      <c r="B34" s="105">
        <v>40.700000000000003</v>
      </c>
      <c r="C34" s="105">
        <v>43</v>
      </c>
      <c r="D34" s="105">
        <v>5.7</v>
      </c>
      <c r="E34" s="106">
        <v>6600</v>
      </c>
      <c r="F34" s="106">
        <v>6250</v>
      </c>
      <c r="G34" s="105">
        <v>-5.3</v>
      </c>
      <c r="H34" s="105">
        <v>268.60000000000002</v>
      </c>
      <c r="I34" s="105">
        <v>268.8</v>
      </c>
      <c r="J34" s="105">
        <v>0.1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88.4</v>
      </c>
      <c r="C36" s="105">
        <v>89.7</v>
      </c>
      <c r="D36" s="105">
        <v>1.5</v>
      </c>
      <c r="E36" s="106">
        <v>3837</v>
      </c>
      <c r="F36" s="106">
        <v>4040</v>
      </c>
      <c r="G36" s="105">
        <v>5.3</v>
      </c>
      <c r="H36" s="105">
        <v>339.2</v>
      </c>
      <c r="I36" s="105">
        <v>362.4</v>
      </c>
      <c r="J36" s="105">
        <v>6.8</v>
      </c>
      <c r="K36" s="26"/>
    </row>
    <row r="37" spans="1:14" ht="17.25" customHeight="1" x14ac:dyDescent="0.2">
      <c r="A37" s="104" t="s">
        <v>45</v>
      </c>
      <c r="B37" s="105">
        <v>18.5</v>
      </c>
      <c r="C37" s="105">
        <v>22</v>
      </c>
      <c r="D37" s="105">
        <v>18.899999999999999</v>
      </c>
      <c r="E37" s="106">
        <v>5640</v>
      </c>
      <c r="F37" s="106">
        <v>4685</v>
      </c>
      <c r="G37" s="105">
        <v>-16.899999999999999</v>
      </c>
      <c r="H37" s="105">
        <v>104.3</v>
      </c>
      <c r="I37" s="105">
        <v>103.1</v>
      </c>
      <c r="J37" s="105">
        <v>-1.2</v>
      </c>
      <c r="K37" s="26"/>
    </row>
    <row r="38" spans="1:14" ht="17.25" customHeight="1" x14ac:dyDescent="0.2">
      <c r="A38" s="113" t="s">
        <v>46</v>
      </c>
      <c r="B38" s="114">
        <v>179</v>
      </c>
      <c r="C38" s="114">
        <v>184.8</v>
      </c>
      <c r="D38" s="114">
        <v>3.2</v>
      </c>
      <c r="E38" s="115">
        <v>5039</v>
      </c>
      <c r="F38" s="115">
        <v>4934</v>
      </c>
      <c r="G38" s="114">
        <v>-2.1</v>
      </c>
      <c r="H38" s="114">
        <v>901.9</v>
      </c>
      <c r="I38" s="114">
        <v>911.80000000000007</v>
      </c>
      <c r="J38" s="116">
        <v>1.1000000000000001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7.4</v>
      </c>
      <c r="C46" s="105">
        <v>7.9</v>
      </c>
      <c r="D46" s="105">
        <v>6.8</v>
      </c>
      <c r="E46" s="106">
        <v>4001</v>
      </c>
      <c r="F46" s="106">
        <v>3854</v>
      </c>
      <c r="G46" s="105">
        <v>-3.7</v>
      </c>
      <c r="H46" s="105">
        <v>29.6</v>
      </c>
      <c r="I46" s="105">
        <v>30.4</v>
      </c>
      <c r="J46" s="105">
        <v>2.7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7.4</v>
      </c>
      <c r="C48" s="118">
        <v>7.9</v>
      </c>
      <c r="D48" s="118">
        <v>6.8</v>
      </c>
      <c r="E48" s="119">
        <v>4000</v>
      </c>
      <c r="F48" s="119">
        <v>3848</v>
      </c>
      <c r="G48" s="118">
        <v>-3.8</v>
      </c>
      <c r="H48" s="118">
        <v>29.6</v>
      </c>
      <c r="I48" s="118">
        <v>30.4</v>
      </c>
      <c r="J48" s="120">
        <v>2.7</v>
      </c>
      <c r="K48" s="26"/>
    </row>
    <row r="49" spans="1:17" ht="17.25" customHeight="1" x14ac:dyDescent="0.2">
      <c r="A49" s="121" t="s">
        <v>184</v>
      </c>
      <c r="B49" s="122">
        <v>186.4</v>
      </c>
      <c r="C49" s="122">
        <v>192.70000000000002</v>
      </c>
      <c r="D49" s="123">
        <v>3.4</v>
      </c>
      <c r="E49" s="124">
        <v>4997</v>
      </c>
      <c r="F49" s="124">
        <v>4889</v>
      </c>
      <c r="G49" s="123">
        <v>-2.2000000000000002</v>
      </c>
      <c r="H49" s="122">
        <v>931.5</v>
      </c>
      <c r="I49" s="122">
        <v>942.2</v>
      </c>
      <c r="J49" s="125">
        <v>1.1000000000000001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0.1</v>
      </c>
      <c r="C13" s="105">
        <v>0.1</v>
      </c>
      <c r="D13" s="105">
        <v>0</v>
      </c>
      <c r="E13" s="106">
        <v>3656</v>
      </c>
      <c r="F13" s="106">
        <v>3596</v>
      </c>
      <c r="G13" s="105">
        <v>-1.6</v>
      </c>
      <c r="H13" s="105">
        <v>0.4</v>
      </c>
      <c r="I13" s="105">
        <v>0.4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0.1</v>
      </c>
      <c r="C14" s="105">
        <v>0.1</v>
      </c>
      <c r="D14" s="105">
        <v>0</v>
      </c>
      <c r="E14" s="106">
        <v>3656</v>
      </c>
      <c r="F14" s="106">
        <v>3596</v>
      </c>
      <c r="G14" s="105">
        <v>-1.6</v>
      </c>
      <c r="H14" s="105">
        <v>0.4</v>
      </c>
      <c r="I14" s="105">
        <v>0.4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8.5</v>
      </c>
      <c r="C16" s="105">
        <v>8.3999999999999986</v>
      </c>
      <c r="D16" s="105">
        <v>-1.2</v>
      </c>
      <c r="E16" s="106">
        <v>1056.3999999999999</v>
      </c>
      <c r="F16" s="106">
        <v>1138.214285714286</v>
      </c>
      <c r="G16" s="105">
        <v>7.7</v>
      </c>
      <c r="H16" s="105">
        <v>9</v>
      </c>
      <c r="I16" s="105">
        <v>9.6</v>
      </c>
      <c r="J16" s="105">
        <v>6.7</v>
      </c>
      <c r="K16" s="26"/>
    </row>
    <row r="17" spans="1:12" ht="17.25" customHeight="1" x14ac:dyDescent="0.2">
      <c r="A17" s="107" t="s">
        <v>31</v>
      </c>
      <c r="B17" s="105">
        <v>4.5999999999999996</v>
      </c>
      <c r="C17" s="105">
        <v>4.5999999999999996</v>
      </c>
      <c r="D17" s="105">
        <v>0</v>
      </c>
      <c r="E17" s="106">
        <v>1189</v>
      </c>
      <c r="F17" s="106">
        <v>1240</v>
      </c>
      <c r="G17" s="105">
        <v>4.3</v>
      </c>
      <c r="H17" s="105">
        <v>5.5</v>
      </c>
      <c r="I17" s="105">
        <v>5.7</v>
      </c>
      <c r="J17" s="105">
        <v>3.6</v>
      </c>
      <c r="K17" s="26"/>
    </row>
    <row r="18" spans="1:12" s="1" customFormat="1" ht="17.25" customHeight="1" x14ac:dyDescent="0.2">
      <c r="A18" s="111" t="s">
        <v>32</v>
      </c>
      <c r="B18" s="105">
        <v>4.5999999999999996</v>
      </c>
      <c r="C18" s="105">
        <v>4.5999999999999996</v>
      </c>
      <c r="D18" s="105">
        <v>0</v>
      </c>
      <c r="E18" s="106">
        <v>1189</v>
      </c>
      <c r="F18" s="106">
        <v>1240</v>
      </c>
      <c r="G18" s="105">
        <v>4.3</v>
      </c>
      <c r="H18" s="105">
        <v>5.5</v>
      </c>
      <c r="I18" s="105">
        <v>5.7</v>
      </c>
      <c r="J18" s="105">
        <v>3.6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3.9</v>
      </c>
      <c r="C21" s="105">
        <v>3.8</v>
      </c>
      <c r="D21" s="105">
        <v>-2.6</v>
      </c>
      <c r="E21" s="106">
        <v>900</v>
      </c>
      <c r="F21" s="106">
        <v>1015</v>
      </c>
      <c r="G21" s="105">
        <v>12.8</v>
      </c>
      <c r="H21" s="105">
        <v>3.5</v>
      </c>
      <c r="I21" s="105">
        <v>3.9</v>
      </c>
      <c r="J21" s="105">
        <v>11.4</v>
      </c>
      <c r="K21" s="26"/>
    </row>
    <row r="22" spans="1:12" s="1" customFormat="1" ht="17.25" customHeight="1" x14ac:dyDescent="0.2">
      <c r="A22" s="111" t="s">
        <v>32</v>
      </c>
      <c r="B22" s="105">
        <v>3.9</v>
      </c>
      <c r="C22" s="105">
        <v>3.8</v>
      </c>
      <c r="D22" s="105">
        <v>-2.6</v>
      </c>
      <c r="E22" s="106">
        <v>900</v>
      </c>
      <c r="F22" s="106">
        <v>1015</v>
      </c>
      <c r="G22" s="105">
        <v>12.8</v>
      </c>
      <c r="H22" s="105">
        <v>3.5</v>
      </c>
      <c r="I22" s="105">
        <v>3.9</v>
      </c>
      <c r="J22" s="105">
        <v>11.4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16.600000000000001</v>
      </c>
      <c r="C32" s="105">
        <v>16.5</v>
      </c>
      <c r="D32" s="105">
        <v>-0.6</v>
      </c>
      <c r="E32" s="106">
        <v>3730.7349397590356</v>
      </c>
      <c r="F32" s="106">
        <v>3512.5454545454545</v>
      </c>
      <c r="G32" s="105">
        <v>-5.8</v>
      </c>
      <c r="H32" s="105">
        <v>61.9</v>
      </c>
      <c r="I32" s="105">
        <v>58</v>
      </c>
      <c r="J32" s="105">
        <v>-6.3</v>
      </c>
      <c r="K32" s="26"/>
    </row>
    <row r="33" spans="1:14" ht="17.25" customHeight="1" x14ac:dyDescent="0.2">
      <c r="A33" s="107" t="s">
        <v>41</v>
      </c>
      <c r="B33" s="105">
        <v>13.6</v>
      </c>
      <c r="C33" s="105">
        <v>13.5</v>
      </c>
      <c r="D33" s="105">
        <v>-0.7</v>
      </c>
      <c r="E33" s="106">
        <v>3537</v>
      </c>
      <c r="F33" s="106">
        <v>3286</v>
      </c>
      <c r="G33" s="105">
        <v>-7.1</v>
      </c>
      <c r="H33" s="105">
        <v>48.1</v>
      </c>
      <c r="I33" s="105">
        <v>44.4</v>
      </c>
      <c r="J33" s="105">
        <v>-7.7</v>
      </c>
      <c r="K33" s="26"/>
    </row>
    <row r="34" spans="1:14" ht="17.25" customHeight="1" x14ac:dyDescent="0.2">
      <c r="A34" s="107" t="s">
        <v>42</v>
      </c>
      <c r="B34" s="105">
        <v>3</v>
      </c>
      <c r="C34" s="105">
        <v>3</v>
      </c>
      <c r="D34" s="105">
        <v>0</v>
      </c>
      <c r="E34" s="106">
        <v>4609</v>
      </c>
      <c r="F34" s="106">
        <v>4532</v>
      </c>
      <c r="G34" s="105">
        <v>-1.7</v>
      </c>
      <c r="H34" s="105">
        <v>13.8</v>
      </c>
      <c r="I34" s="105">
        <v>13.6</v>
      </c>
      <c r="J34" s="105">
        <v>-1.4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25.200000000000003</v>
      </c>
      <c r="C38" s="114">
        <v>25</v>
      </c>
      <c r="D38" s="114">
        <v>-0.8</v>
      </c>
      <c r="E38" s="115">
        <v>2829</v>
      </c>
      <c r="F38" s="115">
        <v>2720</v>
      </c>
      <c r="G38" s="114">
        <v>-3.9</v>
      </c>
      <c r="H38" s="114">
        <v>71.3</v>
      </c>
      <c r="I38" s="114">
        <v>68</v>
      </c>
      <c r="J38" s="116">
        <v>-4.5999999999999996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185</v>
      </c>
      <c r="B49" s="122">
        <v>25.200000000000003</v>
      </c>
      <c r="C49" s="122">
        <v>25</v>
      </c>
      <c r="D49" s="123">
        <v>-0.8</v>
      </c>
      <c r="E49" s="124">
        <v>2829</v>
      </c>
      <c r="F49" s="124">
        <v>2720</v>
      </c>
      <c r="G49" s="123">
        <v>-3.9</v>
      </c>
      <c r="H49" s="122">
        <v>71.3</v>
      </c>
      <c r="I49" s="122">
        <v>68</v>
      </c>
      <c r="J49" s="125">
        <v>-4.5999999999999996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30.3</v>
      </c>
      <c r="C8" s="105">
        <v>29.7</v>
      </c>
      <c r="D8" s="105">
        <v>-2</v>
      </c>
      <c r="E8" s="106">
        <v>2671.2000000000003</v>
      </c>
      <c r="F8" s="106">
        <v>3022.8</v>
      </c>
      <c r="G8" s="105">
        <v>13.2</v>
      </c>
      <c r="H8" s="105">
        <v>80.900000000000006</v>
      </c>
      <c r="I8" s="105">
        <v>89.699999999999989</v>
      </c>
      <c r="J8" s="105">
        <v>10.9</v>
      </c>
      <c r="K8" s="26"/>
    </row>
    <row r="9" spans="1:14" ht="17.25" customHeight="1" x14ac:dyDescent="0.2">
      <c r="A9" s="104" t="s">
        <v>111</v>
      </c>
      <c r="B9" s="105">
        <v>30.3</v>
      </c>
      <c r="C9" s="105">
        <v>29.7</v>
      </c>
      <c r="D9" s="105">
        <v>-2</v>
      </c>
      <c r="E9" s="106">
        <v>1780.8</v>
      </c>
      <c r="F9" s="106">
        <v>2015.2</v>
      </c>
      <c r="G9" s="105">
        <v>13.2</v>
      </c>
      <c r="H9" s="105">
        <v>54</v>
      </c>
      <c r="I9" s="105">
        <v>59.9</v>
      </c>
      <c r="J9" s="105">
        <v>10.9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29</v>
      </c>
      <c r="C13" s="105">
        <v>23.8</v>
      </c>
      <c r="D13" s="105">
        <v>-17.899999999999999</v>
      </c>
      <c r="E13" s="106">
        <v>5350.5517241379312</v>
      </c>
      <c r="F13" s="106">
        <v>6708.2100840336134</v>
      </c>
      <c r="G13" s="105">
        <v>25.4</v>
      </c>
      <c r="H13" s="105">
        <v>155.19999999999999</v>
      </c>
      <c r="I13" s="105">
        <v>159.69999999999999</v>
      </c>
      <c r="J13" s="105">
        <v>2.9</v>
      </c>
      <c r="K13" s="26"/>
    </row>
    <row r="14" spans="1:14" ht="17.25" customHeight="1" x14ac:dyDescent="0.2">
      <c r="A14" s="107" t="s">
        <v>25</v>
      </c>
      <c r="B14" s="105">
        <v>3</v>
      </c>
      <c r="C14" s="105">
        <v>1.5</v>
      </c>
      <c r="D14" s="105">
        <v>-50</v>
      </c>
      <c r="E14" s="106">
        <v>2400</v>
      </c>
      <c r="F14" s="106">
        <v>2400</v>
      </c>
      <c r="G14" s="105">
        <v>0</v>
      </c>
      <c r="H14" s="105">
        <v>7.2</v>
      </c>
      <c r="I14" s="105">
        <v>3.6</v>
      </c>
      <c r="J14" s="105">
        <v>-50</v>
      </c>
      <c r="K14" s="26"/>
    </row>
    <row r="15" spans="1:14" ht="17.25" customHeight="1" x14ac:dyDescent="0.2">
      <c r="A15" s="107" t="s">
        <v>26</v>
      </c>
      <c r="B15" s="105">
        <v>26</v>
      </c>
      <c r="C15" s="105">
        <v>22.3</v>
      </c>
      <c r="D15" s="105">
        <v>-14.2</v>
      </c>
      <c r="E15" s="106">
        <v>5691</v>
      </c>
      <c r="F15" s="106">
        <v>6998</v>
      </c>
      <c r="G15" s="105">
        <v>23</v>
      </c>
      <c r="H15" s="105">
        <v>148</v>
      </c>
      <c r="I15" s="105">
        <v>156.1</v>
      </c>
      <c r="J15" s="105">
        <v>5.5</v>
      </c>
      <c r="K15" s="26"/>
    </row>
    <row r="16" spans="1:14" ht="17.25" customHeight="1" x14ac:dyDescent="0.2">
      <c r="A16" s="104" t="s">
        <v>27</v>
      </c>
      <c r="B16" s="105">
        <v>119.2</v>
      </c>
      <c r="C16" s="105">
        <v>127</v>
      </c>
      <c r="D16" s="105">
        <v>6.5</v>
      </c>
      <c r="E16" s="106">
        <v>2432.3255033557048</v>
      </c>
      <c r="F16" s="106">
        <v>2434.0314960629921</v>
      </c>
      <c r="G16" s="105">
        <v>0.1</v>
      </c>
      <c r="H16" s="105">
        <v>289.89999999999998</v>
      </c>
      <c r="I16" s="105">
        <v>309.10000000000002</v>
      </c>
      <c r="J16" s="105">
        <v>6.6</v>
      </c>
      <c r="K16" s="26"/>
    </row>
    <row r="17" spans="1:12" ht="17.25" customHeight="1" x14ac:dyDescent="0.2">
      <c r="A17" s="107" t="s">
        <v>31</v>
      </c>
      <c r="B17" s="105">
        <v>43</v>
      </c>
      <c r="C17" s="105">
        <v>38</v>
      </c>
      <c r="D17" s="105">
        <v>-11.6</v>
      </c>
      <c r="E17" s="106">
        <v>2340</v>
      </c>
      <c r="F17" s="106">
        <v>2359</v>
      </c>
      <c r="G17" s="105">
        <v>0.8</v>
      </c>
      <c r="H17" s="105">
        <v>100.6</v>
      </c>
      <c r="I17" s="105">
        <v>89.6</v>
      </c>
      <c r="J17" s="105">
        <v>-10.9</v>
      </c>
      <c r="K17" s="26"/>
    </row>
    <row r="18" spans="1:12" s="1" customFormat="1" ht="17.25" customHeight="1" x14ac:dyDescent="0.2">
      <c r="A18" s="111" t="s">
        <v>32</v>
      </c>
      <c r="B18" s="105">
        <v>43</v>
      </c>
      <c r="C18" s="105">
        <v>38</v>
      </c>
      <c r="D18" s="105">
        <v>-11.6</v>
      </c>
      <c r="E18" s="106">
        <v>2340</v>
      </c>
      <c r="F18" s="106">
        <v>2359</v>
      </c>
      <c r="G18" s="105">
        <v>0.8</v>
      </c>
      <c r="H18" s="105">
        <v>100.6</v>
      </c>
      <c r="I18" s="105">
        <v>89.6</v>
      </c>
      <c r="J18" s="105">
        <v>-10.9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16.2</v>
      </c>
      <c r="C21" s="105">
        <v>30</v>
      </c>
      <c r="D21" s="105">
        <v>85.2</v>
      </c>
      <c r="E21" s="106">
        <v>1386</v>
      </c>
      <c r="F21" s="106">
        <v>1180</v>
      </c>
      <c r="G21" s="105">
        <v>-14.9</v>
      </c>
      <c r="H21" s="105">
        <v>22.5</v>
      </c>
      <c r="I21" s="105">
        <v>35.4</v>
      </c>
      <c r="J21" s="105">
        <v>57.3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16.2</v>
      </c>
      <c r="C24" s="105">
        <v>30</v>
      </c>
      <c r="D24" s="105">
        <v>85.2</v>
      </c>
      <c r="E24" s="106">
        <v>1386</v>
      </c>
      <c r="F24" s="106">
        <v>1180</v>
      </c>
      <c r="G24" s="105">
        <v>-14.9</v>
      </c>
      <c r="H24" s="105">
        <v>22.5</v>
      </c>
      <c r="I24" s="105">
        <v>35.4</v>
      </c>
      <c r="J24" s="105">
        <v>57.3</v>
      </c>
      <c r="K24" s="51"/>
      <c r="L24" s="2"/>
    </row>
    <row r="25" spans="1:12" ht="17.25" customHeight="1" x14ac:dyDescent="0.2">
      <c r="A25" s="107" t="s">
        <v>36</v>
      </c>
      <c r="B25" s="105">
        <v>60</v>
      </c>
      <c r="C25" s="105">
        <v>59</v>
      </c>
      <c r="D25" s="105">
        <v>-1.7</v>
      </c>
      <c r="E25" s="106">
        <v>2781</v>
      </c>
      <c r="F25" s="106">
        <v>3120</v>
      </c>
      <c r="G25" s="105">
        <v>12.2</v>
      </c>
      <c r="H25" s="105">
        <v>166.9</v>
      </c>
      <c r="I25" s="105">
        <v>184.1</v>
      </c>
      <c r="J25" s="105">
        <v>10.3</v>
      </c>
      <c r="K25" s="26"/>
    </row>
    <row r="26" spans="1:12" s="1" customFormat="1" ht="17.25" customHeight="1" x14ac:dyDescent="0.2">
      <c r="A26" s="111" t="s">
        <v>32</v>
      </c>
      <c r="B26" s="105">
        <v>60</v>
      </c>
      <c r="C26" s="105">
        <v>59</v>
      </c>
      <c r="D26" s="105">
        <v>-1.7</v>
      </c>
      <c r="E26" s="106">
        <v>2781</v>
      </c>
      <c r="F26" s="106">
        <v>3120</v>
      </c>
      <c r="G26" s="105">
        <v>12.2</v>
      </c>
      <c r="H26" s="105">
        <v>166.9</v>
      </c>
      <c r="I26" s="105">
        <v>184.1</v>
      </c>
      <c r="J26" s="105">
        <v>10.3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4</v>
      </c>
      <c r="C29" s="105">
        <v>4</v>
      </c>
      <c r="D29" s="105">
        <v>0</v>
      </c>
      <c r="E29" s="106">
        <v>500</v>
      </c>
      <c r="F29" s="106">
        <v>500</v>
      </c>
      <c r="G29" s="105">
        <v>0</v>
      </c>
      <c r="H29" s="105">
        <v>2</v>
      </c>
      <c r="I29" s="105">
        <v>2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47</v>
      </c>
      <c r="C30" s="105">
        <v>63</v>
      </c>
      <c r="D30" s="105">
        <v>34</v>
      </c>
      <c r="E30" s="106">
        <v>1579</v>
      </c>
      <c r="F30" s="106">
        <v>1117</v>
      </c>
      <c r="G30" s="105">
        <v>-29.3</v>
      </c>
      <c r="H30" s="105">
        <v>74.2</v>
      </c>
      <c r="I30" s="105">
        <v>70.400000000000006</v>
      </c>
      <c r="J30" s="105">
        <v>-5.0999999999999996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1969.1</v>
      </c>
      <c r="C32" s="105">
        <v>1899.9</v>
      </c>
      <c r="D32" s="105">
        <v>-3.5</v>
      </c>
      <c r="E32" s="106">
        <v>7245.0315880351427</v>
      </c>
      <c r="F32" s="106">
        <v>5449.0843202273809</v>
      </c>
      <c r="G32" s="105">
        <v>-24.8</v>
      </c>
      <c r="H32" s="105">
        <v>14266.2</v>
      </c>
      <c r="I32" s="105">
        <v>10352.700000000001</v>
      </c>
      <c r="J32" s="105">
        <v>-27.4</v>
      </c>
      <c r="K32" s="26"/>
    </row>
    <row r="33" spans="1:14" ht="17.25" customHeight="1" x14ac:dyDescent="0.2">
      <c r="A33" s="107" t="s">
        <v>41</v>
      </c>
      <c r="B33" s="105">
        <v>149</v>
      </c>
      <c r="C33" s="105">
        <v>149</v>
      </c>
      <c r="D33" s="105">
        <v>0</v>
      </c>
      <c r="E33" s="106">
        <v>10397</v>
      </c>
      <c r="F33" s="106">
        <v>10409</v>
      </c>
      <c r="G33" s="105">
        <v>0.1</v>
      </c>
      <c r="H33" s="105">
        <v>1549.2</v>
      </c>
      <c r="I33" s="105">
        <v>1550.9</v>
      </c>
      <c r="J33" s="105">
        <v>0.1</v>
      </c>
      <c r="K33" s="26"/>
    </row>
    <row r="34" spans="1:14" ht="17.25" customHeight="1" x14ac:dyDescent="0.2">
      <c r="A34" s="107" t="s">
        <v>42</v>
      </c>
      <c r="B34" s="105">
        <v>1820.1</v>
      </c>
      <c r="C34" s="105">
        <v>1750.9</v>
      </c>
      <c r="D34" s="105">
        <v>-3.8</v>
      </c>
      <c r="E34" s="106">
        <v>6987</v>
      </c>
      <c r="F34" s="106">
        <v>5027</v>
      </c>
      <c r="G34" s="105">
        <v>-28.1</v>
      </c>
      <c r="H34" s="105">
        <v>12717</v>
      </c>
      <c r="I34" s="105">
        <v>8801.7999999999993</v>
      </c>
      <c r="J34" s="105">
        <v>-30.8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4954.7</v>
      </c>
      <c r="C36" s="105">
        <v>5152.8999999999996</v>
      </c>
      <c r="D36" s="105">
        <v>4</v>
      </c>
      <c r="E36" s="106">
        <v>4183</v>
      </c>
      <c r="F36" s="106">
        <v>3910</v>
      </c>
      <c r="G36" s="105">
        <v>-6.5</v>
      </c>
      <c r="H36" s="105">
        <v>20725.5</v>
      </c>
      <c r="I36" s="105">
        <v>20147.8</v>
      </c>
      <c r="J36" s="105">
        <v>-2.8</v>
      </c>
      <c r="K36" s="26"/>
    </row>
    <row r="37" spans="1:14" ht="17.25" customHeight="1" x14ac:dyDescent="0.2">
      <c r="A37" s="104" t="s">
        <v>45</v>
      </c>
      <c r="B37" s="105">
        <v>394.7</v>
      </c>
      <c r="C37" s="105">
        <v>631.1</v>
      </c>
      <c r="D37" s="105">
        <v>59.9</v>
      </c>
      <c r="E37" s="106">
        <v>4006</v>
      </c>
      <c r="F37" s="106">
        <v>3226</v>
      </c>
      <c r="G37" s="105">
        <v>-19.5</v>
      </c>
      <c r="H37" s="105">
        <v>1581.2</v>
      </c>
      <c r="I37" s="105">
        <v>2035.9</v>
      </c>
      <c r="J37" s="105">
        <v>28.8</v>
      </c>
      <c r="K37" s="26"/>
    </row>
    <row r="38" spans="1:14" ht="17.25" customHeight="1" x14ac:dyDescent="0.2">
      <c r="A38" s="113" t="s">
        <v>46</v>
      </c>
      <c r="B38" s="114">
        <v>7547.9999999999991</v>
      </c>
      <c r="C38" s="114">
        <v>7931.4</v>
      </c>
      <c r="D38" s="114">
        <v>5.0999999999999996</v>
      </c>
      <c r="E38" s="115">
        <v>4925</v>
      </c>
      <c r="F38" s="115">
        <v>4182</v>
      </c>
      <c r="G38" s="114">
        <v>-15.1</v>
      </c>
      <c r="H38" s="114">
        <v>37175.1</v>
      </c>
      <c r="I38" s="114">
        <v>33167.300000000003</v>
      </c>
      <c r="J38" s="116">
        <v>-10.8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45</v>
      </c>
      <c r="C46" s="105">
        <v>40</v>
      </c>
      <c r="D46" s="105">
        <v>-11.1</v>
      </c>
      <c r="E46" s="106">
        <v>4178</v>
      </c>
      <c r="F46" s="106">
        <v>3758</v>
      </c>
      <c r="G46" s="105">
        <v>-10.1</v>
      </c>
      <c r="H46" s="105">
        <v>188</v>
      </c>
      <c r="I46" s="105">
        <v>150.30000000000001</v>
      </c>
      <c r="J46" s="105">
        <v>-20.100000000000001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45</v>
      </c>
      <c r="C48" s="118">
        <v>40</v>
      </c>
      <c r="D48" s="118">
        <v>-11.1</v>
      </c>
      <c r="E48" s="119">
        <v>4178</v>
      </c>
      <c r="F48" s="119">
        <v>3758</v>
      </c>
      <c r="G48" s="118">
        <v>-10.1</v>
      </c>
      <c r="H48" s="118">
        <v>188</v>
      </c>
      <c r="I48" s="118">
        <v>150.30000000000001</v>
      </c>
      <c r="J48" s="120">
        <v>-20.100000000000001</v>
      </c>
      <c r="K48" s="26"/>
    </row>
    <row r="49" spans="1:17" ht="17.25" customHeight="1" x14ac:dyDescent="0.2">
      <c r="A49" s="121" t="s">
        <v>186</v>
      </c>
      <c r="B49" s="122">
        <v>7592.9999999999991</v>
      </c>
      <c r="C49" s="122">
        <v>7971.4</v>
      </c>
      <c r="D49" s="123">
        <v>5</v>
      </c>
      <c r="E49" s="124">
        <v>4921</v>
      </c>
      <c r="F49" s="124">
        <v>4180</v>
      </c>
      <c r="G49" s="123">
        <v>-15.1</v>
      </c>
      <c r="H49" s="122">
        <v>37363.1</v>
      </c>
      <c r="I49" s="122">
        <v>33317.600000000006</v>
      </c>
      <c r="J49" s="125">
        <v>-10.8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</v>
      </c>
      <c r="C8" s="105">
        <v>30.6</v>
      </c>
      <c r="D8" s="105">
        <v>-7.3</v>
      </c>
      <c r="E8" s="106">
        <v>2597.4449999999997</v>
      </c>
      <c r="F8" s="106">
        <v>2842.1190000000001</v>
      </c>
      <c r="G8" s="105">
        <v>9.4</v>
      </c>
      <c r="H8" s="105">
        <v>85.7</v>
      </c>
      <c r="I8" s="105">
        <v>86.999999999999986</v>
      </c>
      <c r="J8" s="105">
        <v>1.5</v>
      </c>
      <c r="K8" s="26"/>
    </row>
    <row r="9" spans="1:14" ht="17.25" customHeight="1" x14ac:dyDescent="0.2">
      <c r="A9" s="104" t="s">
        <v>111</v>
      </c>
      <c r="B9" s="105">
        <v>33</v>
      </c>
      <c r="C9" s="105">
        <v>30.6</v>
      </c>
      <c r="D9" s="105">
        <v>-7.3</v>
      </c>
      <c r="E9" s="106">
        <v>1797.5550000000001</v>
      </c>
      <c r="F9" s="106">
        <v>1966.8809999999999</v>
      </c>
      <c r="G9" s="105">
        <v>9.4</v>
      </c>
      <c r="H9" s="105">
        <v>59.3</v>
      </c>
      <c r="I9" s="105">
        <v>60.2</v>
      </c>
      <c r="J9" s="105">
        <v>1.5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93.4</v>
      </c>
      <c r="C13" s="105">
        <v>65.3</v>
      </c>
      <c r="D13" s="105">
        <v>-30.1</v>
      </c>
      <c r="E13" s="106">
        <v>2992.0096359743038</v>
      </c>
      <c r="F13" s="106">
        <v>2291.8024502297094</v>
      </c>
      <c r="G13" s="105">
        <v>-23.4</v>
      </c>
      <c r="H13" s="105">
        <v>279.5</v>
      </c>
      <c r="I13" s="105">
        <v>149.69999999999999</v>
      </c>
      <c r="J13" s="105">
        <v>-46.4</v>
      </c>
      <c r="K13" s="26"/>
    </row>
    <row r="14" spans="1:14" ht="17.25" customHeight="1" x14ac:dyDescent="0.2">
      <c r="A14" s="107" t="s">
        <v>25</v>
      </c>
      <c r="B14" s="105">
        <v>88.9</v>
      </c>
      <c r="C14" s="105">
        <v>61</v>
      </c>
      <c r="D14" s="105">
        <v>-31.4</v>
      </c>
      <c r="E14" s="106">
        <v>2848</v>
      </c>
      <c r="F14" s="106">
        <v>2034</v>
      </c>
      <c r="G14" s="105">
        <v>-28.6</v>
      </c>
      <c r="H14" s="105">
        <v>253.2</v>
      </c>
      <c r="I14" s="105">
        <v>124.1</v>
      </c>
      <c r="J14" s="105">
        <v>-51</v>
      </c>
      <c r="K14" s="26"/>
    </row>
    <row r="15" spans="1:14" ht="17.25" customHeight="1" x14ac:dyDescent="0.2">
      <c r="A15" s="107" t="s">
        <v>26</v>
      </c>
      <c r="B15" s="105">
        <v>4.5</v>
      </c>
      <c r="C15" s="105">
        <v>4.3</v>
      </c>
      <c r="D15" s="105">
        <v>-4.4000000000000004</v>
      </c>
      <c r="E15" s="106">
        <v>5837</v>
      </c>
      <c r="F15" s="106">
        <v>5949</v>
      </c>
      <c r="G15" s="105">
        <v>1.9</v>
      </c>
      <c r="H15" s="105">
        <v>26.3</v>
      </c>
      <c r="I15" s="105">
        <v>25.6</v>
      </c>
      <c r="J15" s="105">
        <v>-2.7</v>
      </c>
      <c r="K15" s="26"/>
    </row>
    <row r="16" spans="1:14" ht="17.25" customHeight="1" x14ac:dyDescent="0.2">
      <c r="A16" s="104" t="s">
        <v>27</v>
      </c>
      <c r="B16" s="105">
        <v>47.400000000000006</v>
      </c>
      <c r="C16" s="105">
        <v>42.900000000000006</v>
      </c>
      <c r="D16" s="105">
        <v>-9.5</v>
      </c>
      <c r="E16" s="106">
        <v>670.45358649789023</v>
      </c>
      <c r="F16" s="106">
        <v>660.9487179487179</v>
      </c>
      <c r="G16" s="105">
        <v>-1.4</v>
      </c>
      <c r="H16" s="105">
        <v>31.8</v>
      </c>
      <c r="I16" s="105">
        <v>28.4</v>
      </c>
      <c r="J16" s="105">
        <v>-10.7</v>
      </c>
      <c r="K16" s="26"/>
    </row>
    <row r="17" spans="1:12" ht="17.25" customHeight="1" x14ac:dyDescent="0.2">
      <c r="A17" s="107" t="s">
        <v>31</v>
      </c>
      <c r="B17" s="105">
        <v>16.3</v>
      </c>
      <c r="C17" s="105">
        <v>12.8</v>
      </c>
      <c r="D17" s="105">
        <v>-21.5</v>
      </c>
      <c r="E17" s="106">
        <v>595</v>
      </c>
      <c r="F17" s="106">
        <v>468</v>
      </c>
      <c r="G17" s="105">
        <v>-21.3</v>
      </c>
      <c r="H17" s="105">
        <v>9.6999999999999993</v>
      </c>
      <c r="I17" s="105">
        <v>6</v>
      </c>
      <c r="J17" s="105">
        <v>-38.1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16.3</v>
      </c>
      <c r="C20" s="105">
        <v>12.8</v>
      </c>
      <c r="D20" s="105">
        <v>-21.5</v>
      </c>
      <c r="E20" s="106">
        <v>595</v>
      </c>
      <c r="F20" s="106">
        <v>468</v>
      </c>
      <c r="G20" s="105">
        <v>-21.3</v>
      </c>
      <c r="H20" s="105">
        <v>9.6999999999999993</v>
      </c>
      <c r="I20" s="105">
        <v>6</v>
      </c>
      <c r="J20" s="105">
        <v>-38.1</v>
      </c>
      <c r="K20" s="51"/>
      <c r="L20" s="2"/>
    </row>
    <row r="21" spans="1:12" ht="17.25" customHeight="1" x14ac:dyDescent="0.2">
      <c r="A21" s="107" t="s">
        <v>35</v>
      </c>
      <c r="B21" s="105">
        <v>31.1</v>
      </c>
      <c r="C21" s="105">
        <v>30.1</v>
      </c>
      <c r="D21" s="105">
        <v>-3.2</v>
      </c>
      <c r="E21" s="106">
        <v>710</v>
      </c>
      <c r="F21" s="106">
        <v>742.99999999999989</v>
      </c>
      <c r="G21" s="105">
        <v>4.5999999999999996</v>
      </c>
      <c r="H21" s="105">
        <v>22.1</v>
      </c>
      <c r="I21" s="105">
        <v>22.4</v>
      </c>
      <c r="J21" s="105">
        <v>1.4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31.1</v>
      </c>
      <c r="C24" s="105">
        <v>30.1</v>
      </c>
      <c r="D24" s="105">
        <v>-3.2</v>
      </c>
      <c r="E24" s="106">
        <v>710</v>
      </c>
      <c r="F24" s="106">
        <v>743</v>
      </c>
      <c r="G24" s="105">
        <v>4.5999999999999996</v>
      </c>
      <c r="H24" s="105">
        <v>22.1</v>
      </c>
      <c r="I24" s="105">
        <v>22.4</v>
      </c>
      <c r="J24" s="105">
        <v>1.4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597.1</v>
      </c>
      <c r="C32" s="105">
        <v>552.20000000000005</v>
      </c>
      <c r="D32" s="105">
        <v>-7.5</v>
      </c>
      <c r="E32" s="106">
        <v>5714.8832691341477</v>
      </c>
      <c r="F32" s="106">
        <v>5429.4176023179998</v>
      </c>
      <c r="G32" s="105">
        <v>-5</v>
      </c>
      <c r="H32" s="105">
        <v>3412.4</v>
      </c>
      <c r="I32" s="105">
        <v>2998.1</v>
      </c>
      <c r="J32" s="105">
        <v>-12.1</v>
      </c>
      <c r="K32" s="26"/>
    </row>
    <row r="33" spans="1:14" ht="17.25" customHeight="1" x14ac:dyDescent="0.2">
      <c r="A33" s="107" t="s">
        <v>41</v>
      </c>
      <c r="B33" s="105">
        <v>298.10000000000002</v>
      </c>
      <c r="C33" s="105">
        <v>328.5</v>
      </c>
      <c r="D33" s="105">
        <v>10.199999999999999</v>
      </c>
      <c r="E33" s="106">
        <v>5128</v>
      </c>
      <c r="F33" s="106">
        <v>5666</v>
      </c>
      <c r="G33" s="105">
        <v>10.5</v>
      </c>
      <c r="H33" s="105">
        <v>1528.7</v>
      </c>
      <c r="I33" s="105">
        <v>1861.3</v>
      </c>
      <c r="J33" s="105">
        <v>21.8</v>
      </c>
      <c r="K33" s="26"/>
    </row>
    <row r="34" spans="1:14" ht="17.25" customHeight="1" x14ac:dyDescent="0.2">
      <c r="A34" s="107" t="s">
        <v>42</v>
      </c>
      <c r="B34" s="105">
        <v>299</v>
      </c>
      <c r="C34" s="105">
        <v>223.7</v>
      </c>
      <c r="D34" s="105">
        <v>-25.2</v>
      </c>
      <c r="E34" s="106">
        <v>6300</v>
      </c>
      <c r="F34" s="106">
        <v>5082</v>
      </c>
      <c r="G34" s="105">
        <v>-19.3</v>
      </c>
      <c r="H34" s="105">
        <v>1883.7</v>
      </c>
      <c r="I34" s="105">
        <v>1136.8</v>
      </c>
      <c r="J34" s="105">
        <v>-39.700000000000003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1436.1</v>
      </c>
      <c r="C36" s="105">
        <v>1552.4</v>
      </c>
      <c r="D36" s="105">
        <v>8.1</v>
      </c>
      <c r="E36" s="106">
        <v>3383</v>
      </c>
      <c r="F36" s="106">
        <v>3552</v>
      </c>
      <c r="G36" s="105">
        <v>5</v>
      </c>
      <c r="H36" s="105">
        <v>4858.3</v>
      </c>
      <c r="I36" s="105">
        <v>5514.1</v>
      </c>
      <c r="J36" s="105">
        <v>13.5</v>
      </c>
      <c r="K36" s="26"/>
    </row>
    <row r="37" spans="1:14" ht="17.25" customHeight="1" x14ac:dyDescent="0.2">
      <c r="A37" s="104" t="s">
        <v>45</v>
      </c>
      <c r="B37" s="105">
        <v>50.6</v>
      </c>
      <c r="C37" s="105">
        <v>80</v>
      </c>
      <c r="D37" s="105">
        <v>58.1</v>
      </c>
      <c r="E37" s="106">
        <v>2465</v>
      </c>
      <c r="F37" s="106">
        <v>3353</v>
      </c>
      <c r="G37" s="105">
        <v>36</v>
      </c>
      <c r="H37" s="105">
        <v>124.7</v>
      </c>
      <c r="I37" s="105">
        <v>268.2</v>
      </c>
      <c r="J37" s="105">
        <v>115.1</v>
      </c>
      <c r="K37" s="26"/>
    </row>
    <row r="38" spans="1:14" ht="17.25" customHeight="1" x14ac:dyDescent="0.2">
      <c r="A38" s="113" t="s">
        <v>46</v>
      </c>
      <c r="B38" s="114">
        <v>2257.6</v>
      </c>
      <c r="C38" s="114">
        <v>2323.4</v>
      </c>
      <c r="D38" s="114">
        <v>2.9</v>
      </c>
      <c r="E38" s="115">
        <v>3895</v>
      </c>
      <c r="F38" s="115">
        <v>3893</v>
      </c>
      <c r="G38" s="114">
        <v>-0.1</v>
      </c>
      <c r="H38" s="114">
        <v>8792.4000000000015</v>
      </c>
      <c r="I38" s="114">
        <v>9045.5</v>
      </c>
      <c r="J38" s="116">
        <v>2.9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187</v>
      </c>
      <c r="B49" s="122">
        <v>2257.6</v>
      </c>
      <c r="C49" s="122">
        <v>2323.4</v>
      </c>
      <c r="D49" s="123">
        <v>2.9</v>
      </c>
      <c r="E49" s="124">
        <v>3895</v>
      </c>
      <c r="F49" s="124">
        <v>3893</v>
      </c>
      <c r="G49" s="123">
        <v>-0.1</v>
      </c>
      <c r="H49" s="122">
        <v>8792.4000000000015</v>
      </c>
      <c r="I49" s="122">
        <v>9045.5</v>
      </c>
      <c r="J49" s="125">
        <v>2.9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45.1</v>
      </c>
      <c r="C8" s="105">
        <v>40</v>
      </c>
      <c r="D8" s="105">
        <v>-11.3</v>
      </c>
      <c r="E8" s="106">
        <v>2448.5999999999995</v>
      </c>
      <c r="F8" s="106">
        <v>2850.87</v>
      </c>
      <c r="G8" s="105">
        <v>16.399999999999999</v>
      </c>
      <c r="H8" s="105">
        <v>110.4</v>
      </c>
      <c r="I8" s="105">
        <v>114</v>
      </c>
      <c r="J8" s="105">
        <v>3.3</v>
      </c>
      <c r="K8" s="26"/>
    </row>
    <row r="9" spans="1:14" ht="17.25" customHeight="1" x14ac:dyDescent="0.2">
      <c r="A9" s="104" t="s">
        <v>111</v>
      </c>
      <c r="B9" s="105">
        <v>45.1</v>
      </c>
      <c r="C9" s="105">
        <v>40</v>
      </c>
      <c r="D9" s="105">
        <v>-11.3</v>
      </c>
      <c r="E9" s="106">
        <v>1751.4000000000003</v>
      </c>
      <c r="F9" s="106">
        <v>2039.1300000000003</v>
      </c>
      <c r="G9" s="105">
        <v>16.399999999999999</v>
      </c>
      <c r="H9" s="105">
        <v>79</v>
      </c>
      <c r="I9" s="105">
        <v>81.599999999999994</v>
      </c>
      <c r="J9" s="105">
        <v>3.3</v>
      </c>
      <c r="K9" s="26"/>
    </row>
    <row r="10" spans="1:14" ht="17.25" customHeight="1" x14ac:dyDescent="0.2">
      <c r="A10" s="104" t="s">
        <v>21</v>
      </c>
      <c r="B10" s="105">
        <v>14.5</v>
      </c>
      <c r="C10" s="105">
        <v>16.3</v>
      </c>
      <c r="D10" s="105">
        <v>12.4</v>
      </c>
      <c r="E10" s="106">
        <v>3588</v>
      </c>
      <c r="F10" s="106">
        <v>3572</v>
      </c>
      <c r="G10" s="105">
        <v>-0.4</v>
      </c>
      <c r="H10" s="105">
        <v>52</v>
      </c>
      <c r="I10" s="105">
        <v>58.2</v>
      </c>
      <c r="J10" s="105">
        <v>11.9</v>
      </c>
      <c r="K10" s="26"/>
    </row>
    <row r="11" spans="1:14" ht="17.25" customHeight="1" x14ac:dyDescent="0.2">
      <c r="A11" s="107" t="s">
        <v>22</v>
      </c>
      <c r="B11" s="105">
        <v>14.5</v>
      </c>
      <c r="C11" s="105">
        <v>16.3</v>
      </c>
      <c r="D11" s="105">
        <v>12.4</v>
      </c>
      <c r="E11" s="106">
        <v>3588</v>
      </c>
      <c r="F11" s="106">
        <v>3572</v>
      </c>
      <c r="G11" s="105">
        <v>-0.4</v>
      </c>
      <c r="H11" s="105">
        <v>52</v>
      </c>
      <c r="I11" s="105">
        <v>58.2</v>
      </c>
      <c r="J11" s="105">
        <v>11.9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22.2</v>
      </c>
      <c r="C13" s="105">
        <v>16.7</v>
      </c>
      <c r="D13" s="105">
        <v>-24.8</v>
      </c>
      <c r="E13" s="106">
        <v>3933.9819819819818</v>
      </c>
      <c r="F13" s="106">
        <v>4791.4071856287428</v>
      </c>
      <c r="G13" s="105">
        <v>21.8</v>
      </c>
      <c r="H13" s="105">
        <v>87.300000000000011</v>
      </c>
      <c r="I13" s="105">
        <v>80</v>
      </c>
      <c r="J13" s="105">
        <v>-8.4</v>
      </c>
      <c r="K13" s="26"/>
    </row>
    <row r="14" spans="1:14" ht="17.25" customHeight="1" x14ac:dyDescent="0.2">
      <c r="A14" s="107" t="s">
        <v>25</v>
      </c>
      <c r="B14" s="105">
        <v>2.8</v>
      </c>
      <c r="C14" s="105">
        <v>2.4</v>
      </c>
      <c r="D14" s="105">
        <v>-14.3</v>
      </c>
      <c r="E14" s="106">
        <v>1398</v>
      </c>
      <c r="F14" s="106">
        <v>2768</v>
      </c>
      <c r="G14" s="105">
        <v>98</v>
      </c>
      <c r="H14" s="105">
        <v>3.9</v>
      </c>
      <c r="I14" s="105">
        <v>6.6</v>
      </c>
      <c r="J14" s="105">
        <v>69.2</v>
      </c>
      <c r="K14" s="26"/>
    </row>
    <row r="15" spans="1:14" ht="17.25" customHeight="1" x14ac:dyDescent="0.2">
      <c r="A15" s="107" t="s">
        <v>26</v>
      </c>
      <c r="B15" s="105">
        <v>19.399999999999999</v>
      </c>
      <c r="C15" s="105">
        <v>14.3</v>
      </c>
      <c r="D15" s="105">
        <v>-26.3</v>
      </c>
      <c r="E15" s="106">
        <v>4300</v>
      </c>
      <c r="F15" s="106">
        <v>5131</v>
      </c>
      <c r="G15" s="105">
        <v>19.3</v>
      </c>
      <c r="H15" s="105">
        <v>83.4</v>
      </c>
      <c r="I15" s="105">
        <v>73.400000000000006</v>
      </c>
      <c r="J15" s="105">
        <v>-12</v>
      </c>
      <c r="K15" s="26"/>
    </row>
    <row r="16" spans="1:14" ht="17.25" customHeight="1" x14ac:dyDescent="0.2">
      <c r="A16" s="104" t="s">
        <v>27</v>
      </c>
      <c r="B16" s="105">
        <v>286.70000000000005</v>
      </c>
      <c r="C16" s="105">
        <v>305.10000000000002</v>
      </c>
      <c r="D16" s="105">
        <v>6.4</v>
      </c>
      <c r="E16" s="106">
        <v>1614.2026508545514</v>
      </c>
      <c r="F16" s="106">
        <v>1726.9691904293675</v>
      </c>
      <c r="G16" s="105">
        <v>7</v>
      </c>
      <c r="H16" s="105">
        <v>462.8</v>
      </c>
      <c r="I16" s="105">
        <v>526.9</v>
      </c>
      <c r="J16" s="105">
        <v>13.9</v>
      </c>
      <c r="K16" s="26"/>
    </row>
    <row r="17" spans="1:12" ht="17.25" customHeight="1" x14ac:dyDescent="0.2">
      <c r="A17" s="107" t="s">
        <v>31</v>
      </c>
      <c r="B17" s="105">
        <v>128.4</v>
      </c>
      <c r="C17" s="105">
        <v>131.4</v>
      </c>
      <c r="D17" s="105">
        <v>2.2999999999999998</v>
      </c>
      <c r="E17" s="106">
        <v>1597.8925233644859</v>
      </c>
      <c r="F17" s="106">
        <v>1605.6468797564687</v>
      </c>
      <c r="G17" s="105">
        <v>0.5</v>
      </c>
      <c r="H17" s="105">
        <v>205.2</v>
      </c>
      <c r="I17" s="105">
        <v>211</v>
      </c>
      <c r="J17" s="105">
        <v>2.8</v>
      </c>
      <c r="K17" s="26"/>
    </row>
    <row r="18" spans="1:12" s="1" customFormat="1" ht="17.25" customHeight="1" x14ac:dyDescent="0.2">
      <c r="A18" s="111" t="s">
        <v>32</v>
      </c>
      <c r="B18" s="105">
        <v>107.2</v>
      </c>
      <c r="C18" s="105">
        <v>109.7</v>
      </c>
      <c r="D18" s="105">
        <v>2.2999999999999998</v>
      </c>
      <c r="E18" s="106">
        <v>1784</v>
      </c>
      <c r="F18" s="106">
        <v>1793</v>
      </c>
      <c r="G18" s="105">
        <v>0.5</v>
      </c>
      <c r="H18" s="105">
        <v>191.2</v>
      </c>
      <c r="I18" s="105">
        <v>196.7</v>
      </c>
      <c r="J18" s="105">
        <v>2.9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7.1</v>
      </c>
      <c r="C19" s="105">
        <v>7.2</v>
      </c>
      <c r="D19" s="105">
        <v>1.4</v>
      </c>
      <c r="E19" s="106">
        <v>863</v>
      </c>
      <c r="F19" s="106">
        <v>867</v>
      </c>
      <c r="G19" s="105">
        <v>0.5</v>
      </c>
      <c r="H19" s="105">
        <v>6.1</v>
      </c>
      <c r="I19" s="105">
        <v>6.2</v>
      </c>
      <c r="J19" s="105">
        <v>1.6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14.1</v>
      </c>
      <c r="C20" s="105">
        <v>14.5</v>
      </c>
      <c r="D20" s="105">
        <v>2.8</v>
      </c>
      <c r="E20" s="106">
        <v>553</v>
      </c>
      <c r="F20" s="106">
        <v>555</v>
      </c>
      <c r="G20" s="105">
        <v>0.4</v>
      </c>
      <c r="H20" s="105">
        <v>7.8</v>
      </c>
      <c r="I20" s="105">
        <v>8</v>
      </c>
      <c r="J20" s="105">
        <v>2.6</v>
      </c>
      <c r="K20" s="51"/>
      <c r="L20" s="2"/>
    </row>
    <row r="21" spans="1:12" ht="17.25" customHeight="1" x14ac:dyDescent="0.2">
      <c r="A21" s="107" t="s">
        <v>35</v>
      </c>
      <c r="B21" s="105">
        <v>101.2</v>
      </c>
      <c r="C21" s="105">
        <v>111.6</v>
      </c>
      <c r="D21" s="105">
        <v>10.3</v>
      </c>
      <c r="E21" s="106">
        <v>1465.4367588932807</v>
      </c>
      <c r="F21" s="106">
        <v>1585.758960573477</v>
      </c>
      <c r="G21" s="105">
        <v>8.1999999999999993</v>
      </c>
      <c r="H21" s="105">
        <v>148.30000000000001</v>
      </c>
      <c r="I21" s="105">
        <v>177</v>
      </c>
      <c r="J21" s="105">
        <v>19.399999999999999</v>
      </c>
      <c r="K21" s="26"/>
    </row>
    <row r="22" spans="1:12" s="1" customFormat="1" ht="17.25" customHeight="1" x14ac:dyDescent="0.2">
      <c r="A22" s="111" t="s">
        <v>32</v>
      </c>
      <c r="B22" s="105">
        <v>94.7</v>
      </c>
      <c r="C22" s="105">
        <v>105.1</v>
      </c>
      <c r="D22" s="105">
        <v>11</v>
      </c>
      <c r="E22" s="106">
        <v>1505</v>
      </c>
      <c r="F22" s="106">
        <v>1618</v>
      </c>
      <c r="G22" s="105">
        <v>7.5</v>
      </c>
      <c r="H22" s="105">
        <v>142.5</v>
      </c>
      <c r="I22" s="105">
        <v>170.1</v>
      </c>
      <c r="J22" s="105">
        <v>19.399999999999999</v>
      </c>
      <c r="K22" s="51"/>
      <c r="L22" s="2"/>
    </row>
    <row r="23" spans="1:12" s="1" customFormat="1" ht="17.25" customHeight="1" x14ac:dyDescent="0.2">
      <c r="A23" s="111" t="s">
        <v>33</v>
      </c>
      <c r="B23" s="105">
        <v>6.4</v>
      </c>
      <c r="C23" s="105">
        <v>6.4</v>
      </c>
      <c r="D23" s="105">
        <v>0</v>
      </c>
      <c r="E23" s="106">
        <v>888</v>
      </c>
      <c r="F23" s="106">
        <v>1063</v>
      </c>
      <c r="G23" s="105">
        <v>19.7</v>
      </c>
      <c r="H23" s="105">
        <v>5.7</v>
      </c>
      <c r="I23" s="105">
        <v>6.8</v>
      </c>
      <c r="J23" s="105">
        <v>19.3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0.1</v>
      </c>
      <c r="C24" s="105">
        <v>0.1</v>
      </c>
      <c r="D24" s="105">
        <v>0</v>
      </c>
      <c r="E24" s="106">
        <v>955</v>
      </c>
      <c r="F24" s="106">
        <v>1157</v>
      </c>
      <c r="G24" s="105">
        <v>21.2</v>
      </c>
      <c r="H24" s="105">
        <v>0.1</v>
      </c>
      <c r="I24" s="105">
        <v>0.1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57.1</v>
      </c>
      <c r="C25" s="105">
        <v>62.1</v>
      </c>
      <c r="D25" s="105">
        <v>8.8000000000000007</v>
      </c>
      <c r="E25" s="106">
        <v>1914.5411558669</v>
      </c>
      <c r="F25" s="106">
        <v>2237.4492753623185</v>
      </c>
      <c r="G25" s="105">
        <v>16.899999999999999</v>
      </c>
      <c r="H25" s="105">
        <v>109.3</v>
      </c>
      <c r="I25" s="105">
        <v>138.9</v>
      </c>
      <c r="J25" s="105">
        <v>27.1</v>
      </c>
      <c r="K25" s="26"/>
    </row>
    <row r="26" spans="1:12" s="1" customFormat="1" ht="17.25" customHeight="1" x14ac:dyDescent="0.2">
      <c r="A26" s="111" t="s">
        <v>32</v>
      </c>
      <c r="B26" s="105">
        <v>56.9</v>
      </c>
      <c r="C26" s="105">
        <v>61.9</v>
      </c>
      <c r="D26" s="105">
        <v>8.8000000000000007</v>
      </c>
      <c r="E26" s="106">
        <v>1919</v>
      </c>
      <c r="F26" s="106">
        <v>2242</v>
      </c>
      <c r="G26" s="105">
        <v>16.8</v>
      </c>
      <c r="H26" s="105">
        <v>109.2</v>
      </c>
      <c r="I26" s="105">
        <v>138.80000000000001</v>
      </c>
      <c r="J26" s="105">
        <v>27.1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0.2</v>
      </c>
      <c r="C27" s="105">
        <v>0.2</v>
      </c>
      <c r="D27" s="105">
        <v>0</v>
      </c>
      <c r="E27" s="106">
        <v>646</v>
      </c>
      <c r="F27" s="106">
        <v>829</v>
      </c>
      <c r="G27" s="105">
        <v>28.3</v>
      </c>
      <c r="H27" s="105">
        <v>0.1</v>
      </c>
      <c r="I27" s="105">
        <v>0.2</v>
      </c>
      <c r="J27" s="105">
        <v>100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5.5</v>
      </c>
      <c r="C30" s="105">
        <v>3.3</v>
      </c>
      <c r="D30" s="105">
        <v>-40</v>
      </c>
      <c r="E30" s="106">
        <v>1800</v>
      </c>
      <c r="F30" s="106">
        <v>1953</v>
      </c>
      <c r="G30" s="105">
        <v>8.5</v>
      </c>
      <c r="H30" s="105">
        <v>9.9</v>
      </c>
      <c r="I30" s="105">
        <v>6.4</v>
      </c>
      <c r="J30" s="105">
        <v>-35.4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1083.7</v>
      </c>
      <c r="C32" s="105">
        <v>1111.9000000000001</v>
      </c>
      <c r="D32" s="105">
        <v>2.6</v>
      </c>
      <c r="E32" s="106">
        <v>6082.2116821998707</v>
      </c>
      <c r="F32" s="106">
        <v>6506.8688731000984</v>
      </c>
      <c r="G32" s="105">
        <v>7</v>
      </c>
      <c r="H32" s="105">
        <v>6591.3</v>
      </c>
      <c r="I32" s="105">
        <v>7235</v>
      </c>
      <c r="J32" s="105">
        <v>9.8000000000000007</v>
      </c>
      <c r="K32" s="26"/>
    </row>
    <row r="33" spans="1:14" ht="17.25" customHeight="1" x14ac:dyDescent="0.2">
      <c r="A33" s="107" t="s">
        <v>41</v>
      </c>
      <c r="B33" s="105">
        <v>619</v>
      </c>
      <c r="C33" s="105">
        <v>670.4</v>
      </c>
      <c r="D33" s="105">
        <v>8.3000000000000007</v>
      </c>
      <c r="E33" s="106">
        <v>6216</v>
      </c>
      <c r="F33" s="106">
        <v>7085</v>
      </c>
      <c r="G33" s="105">
        <v>14</v>
      </c>
      <c r="H33" s="105">
        <v>3847.7</v>
      </c>
      <c r="I33" s="105">
        <v>4749.8</v>
      </c>
      <c r="J33" s="105">
        <v>23.4</v>
      </c>
      <c r="K33" s="26"/>
    </row>
    <row r="34" spans="1:14" ht="17.25" customHeight="1" x14ac:dyDescent="0.2">
      <c r="A34" s="107" t="s">
        <v>42</v>
      </c>
      <c r="B34" s="105">
        <v>464.7</v>
      </c>
      <c r="C34" s="105">
        <v>441.5</v>
      </c>
      <c r="D34" s="105">
        <v>-5</v>
      </c>
      <c r="E34" s="106">
        <v>5904</v>
      </c>
      <c r="F34" s="106">
        <v>5629</v>
      </c>
      <c r="G34" s="105">
        <v>-4.7</v>
      </c>
      <c r="H34" s="105">
        <v>2743.6</v>
      </c>
      <c r="I34" s="105">
        <v>2485.1999999999998</v>
      </c>
      <c r="J34" s="105">
        <v>-9.4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2316.9</v>
      </c>
      <c r="C36" s="105">
        <v>2342.4</v>
      </c>
      <c r="D36" s="105">
        <v>1.1000000000000001</v>
      </c>
      <c r="E36" s="106">
        <v>3965</v>
      </c>
      <c r="F36" s="106">
        <v>3910</v>
      </c>
      <c r="G36" s="105">
        <v>-1.4</v>
      </c>
      <c r="H36" s="105">
        <v>9186.5</v>
      </c>
      <c r="I36" s="105">
        <v>9158.7999999999993</v>
      </c>
      <c r="J36" s="105">
        <v>-0.3</v>
      </c>
      <c r="K36" s="26"/>
    </row>
    <row r="37" spans="1:14" ht="17.25" customHeight="1" x14ac:dyDescent="0.2">
      <c r="A37" s="104" t="s">
        <v>45</v>
      </c>
      <c r="B37" s="105">
        <v>372.3</v>
      </c>
      <c r="C37" s="105">
        <v>384.6</v>
      </c>
      <c r="D37" s="105">
        <v>3.3</v>
      </c>
      <c r="E37" s="106">
        <v>3988</v>
      </c>
      <c r="F37" s="106">
        <v>3671</v>
      </c>
      <c r="G37" s="105">
        <v>-7.9</v>
      </c>
      <c r="H37" s="105">
        <v>1484.7</v>
      </c>
      <c r="I37" s="105">
        <v>1411.9</v>
      </c>
      <c r="J37" s="105">
        <v>-4.9000000000000004</v>
      </c>
      <c r="K37" s="26"/>
    </row>
    <row r="38" spans="1:14" ht="17.25" customHeight="1" x14ac:dyDescent="0.2">
      <c r="A38" s="113" t="s">
        <v>46</v>
      </c>
      <c r="B38" s="114">
        <v>4146.9000000000005</v>
      </c>
      <c r="C38" s="114">
        <v>4220.3</v>
      </c>
      <c r="D38" s="114">
        <v>1.8</v>
      </c>
      <c r="E38" s="115">
        <v>4337</v>
      </c>
      <c r="F38" s="115">
        <v>4405</v>
      </c>
      <c r="G38" s="114">
        <v>1.6</v>
      </c>
      <c r="H38" s="114">
        <v>17984.900000000001</v>
      </c>
      <c r="I38" s="114">
        <v>18591.2</v>
      </c>
      <c r="J38" s="116">
        <v>3.4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151.1</v>
      </c>
      <c r="C46" s="105">
        <v>158.5</v>
      </c>
      <c r="D46" s="105">
        <v>4.9000000000000004</v>
      </c>
      <c r="E46" s="106">
        <v>2804</v>
      </c>
      <c r="F46" s="106">
        <v>2916</v>
      </c>
      <c r="G46" s="105">
        <v>4</v>
      </c>
      <c r="H46" s="105">
        <v>423.7</v>
      </c>
      <c r="I46" s="105">
        <v>462.2</v>
      </c>
      <c r="J46" s="105">
        <v>9.1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151.1</v>
      </c>
      <c r="C48" s="118">
        <v>158.5</v>
      </c>
      <c r="D48" s="118">
        <v>4.9000000000000004</v>
      </c>
      <c r="E48" s="119">
        <v>2804</v>
      </c>
      <c r="F48" s="119">
        <v>2916</v>
      </c>
      <c r="G48" s="118">
        <v>4</v>
      </c>
      <c r="H48" s="118">
        <v>423.7</v>
      </c>
      <c r="I48" s="118">
        <v>462.2</v>
      </c>
      <c r="J48" s="120">
        <v>9.1</v>
      </c>
      <c r="K48" s="26"/>
    </row>
    <row r="49" spans="1:17" ht="17.25" customHeight="1" x14ac:dyDescent="0.2">
      <c r="A49" s="121" t="s">
        <v>188</v>
      </c>
      <c r="B49" s="122">
        <v>4298.0000000000009</v>
      </c>
      <c r="C49" s="122">
        <v>4378.8</v>
      </c>
      <c r="D49" s="123">
        <v>1.9</v>
      </c>
      <c r="E49" s="124">
        <v>4283</v>
      </c>
      <c r="F49" s="124">
        <v>4351</v>
      </c>
      <c r="G49" s="123">
        <v>1.6</v>
      </c>
      <c r="H49" s="122">
        <v>18408.600000000002</v>
      </c>
      <c r="I49" s="122">
        <v>19053.400000000001</v>
      </c>
      <c r="J49" s="125">
        <v>3.5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31.7</v>
      </c>
      <c r="C8" s="105">
        <v>31.8</v>
      </c>
      <c r="D8" s="105">
        <v>0.3</v>
      </c>
      <c r="E8" s="106">
        <v>3085.6000000000004</v>
      </c>
      <c r="F8" s="106">
        <v>2929</v>
      </c>
      <c r="G8" s="105">
        <v>-5.0999999999999996</v>
      </c>
      <c r="H8" s="105">
        <v>97.8</v>
      </c>
      <c r="I8" s="105">
        <v>93.199999999999989</v>
      </c>
      <c r="J8" s="105">
        <v>-4.7</v>
      </c>
      <c r="K8" s="26"/>
    </row>
    <row r="9" spans="1:14" ht="17.25" customHeight="1" x14ac:dyDescent="0.2">
      <c r="A9" s="104" t="s">
        <v>111</v>
      </c>
      <c r="B9" s="105">
        <v>31.7</v>
      </c>
      <c r="C9" s="105">
        <v>31.8</v>
      </c>
      <c r="D9" s="105">
        <v>0.3</v>
      </c>
      <c r="E9" s="106">
        <v>2234.4</v>
      </c>
      <c r="F9" s="106">
        <v>2121</v>
      </c>
      <c r="G9" s="105">
        <v>-5.0999999999999996</v>
      </c>
      <c r="H9" s="105">
        <v>70.8</v>
      </c>
      <c r="I9" s="105">
        <v>67.400000000000006</v>
      </c>
      <c r="J9" s="105">
        <v>-4.8</v>
      </c>
      <c r="K9" s="26"/>
    </row>
    <row r="10" spans="1:14" ht="17.25" customHeight="1" x14ac:dyDescent="0.2">
      <c r="A10" s="104" t="s">
        <v>21</v>
      </c>
      <c r="B10" s="105">
        <v>43.5</v>
      </c>
      <c r="C10" s="105">
        <v>45.8</v>
      </c>
      <c r="D10" s="105">
        <v>5.3</v>
      </c>
      <c r="E10" s="106">
        <v>3992</v>
      </c>
      <c r="F10" s="106">
        <v>4020.0000000000005</v>
      </c>
      <c r="G10" s="105">
        <v>0.7</v>
      </c>
      <c r="H10" s="105">
        <v>173.7</v>
      </c>
      <c r="I10" s="105">
        <v>184.1</v>
      </c>
      <c r="J10" s="105">
        <v>6</v>
      </c>
      <c r="K10" s="26"/>
    </row>
    <row r="11" spans="1:14" ht="17.25" customHeight="1" x14ac:dyDescent="0.2">
      <c r="A11" s="107" t="s">
        <v>22</v>
      </c>
      <c r="B11" s="105">
        <v>43.5</v>
      </c>
      <c r="C11" s="105">
        <v>45.8</v>
      </c>
      <c r="D11" s="105">
        <v>5.3</v>
      </c>
      <c r="E11" s="106">
        <v>3992</v>
      </c>
      <c r="F11" s="106">
        <v>4020</v>
      </c>
      <c r="G11" s="105">
        <v>0.7</v>
      </c>
      <c r="H11" s="105">
        <v>173.7</v>
      </c>
      <c r="I11" s="105">
        <v>184.1</v>
      </c>
      <c r="J11" s="105">
        <v>6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13.7</v>
      </c>
      <c r="C13" s="105">
        <v>9.1999999999999993</v>
      </c>
      <c r="D13" s="105">
        <v>-32.799999999999997</v>
      </c>
      <c r="E13" s="106">
        <v>6888.9999999999991</v>
      </c>
      <c r="F13" s="106">
        <v>6418</v>
      </c>
      <c r="G13" s="105">
        <v>-6.8</v>
      </c>
      <c r="H13" s="105">
        <v>94.4</v>
      </c>
      <c r="I13" s="105">
        <v>59</v>
      </c>
      <c r="J13" s="105">
        <v>-37.5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13.7</v>
      </c>
      <c r="C15" s="105">
        <v>9.1999999999999993</v>
      </c>
      <c r="D15" s="105">
        <v>-32.799999999999997</v>
      </c>
      <c r="E15" s="106">
        <v>6889</v>
      </c>
      <c r="F15" s="106">
        <v>6418</v>
      </c>
      <c r="G15" s="105">
        <v>-6.8</v>
      </c>
      <c r="H15" s="105">
        <v>94.4</v>
      </c>
      <c r="I15" s="105">
        <v>59</v>
      </c>
      <c r="J15" s="105">
        <v>-37.5</v>
      </c>
      <c r="K15" s="26"/>
    </row>
    <row r="16" spans="1:14" ht="17.25" customHeight="1" x14ac:dyDescent="0.2">
      <c r="A16" s="104" t="s">
        <v>27</v>
      </c>
      <c r="B16" s="105">
        <v>5.7</v>
      </c>
      <c r="C16" s="105">
        <v>7.3</v>
      </c>
      <c r="D16" s="105">
        <v>28.1</v>
      </c>
      <c r="E16" s="106">
        <v>1775</v>
      </c>
      <c r="F16" s="106">
        <v>1621</v>
      </c>
      <c r="G16" s="105">
        <v>-8.6999999999999993</v>
      </c>
      <c r="H16" s="105">
        <v>10.1</v>
      </c>
      <c r="I16" s="105">
        <v>11.8</v>
      </c>
      <c r="J16" s="105">
        <v>16.8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5.7</v>
      </c>
      <c r="C21" s="105">
        <v>7.3</v>
      </c>
      <c r="D21" s="105">
        <v>28.1</v>
      </c>
      <c r="E21" s="106">
        <v>1775</v>
      </c>
      <c r="F21" s="106">
        <v>1621</v>
      </c>
      <c r="G21" s="105">
        <v>-8.6999999999999993</v>
      </c>
      <c r="H21" s="105">
        <v>10.1</v>
      </c>
      <c r="I21" s="105">
        <v>11.8</v>
      </c>
      <c r="J21" s="105">
        <v>16.8</v>
      </c>
      <c r="K21" s="26"/>
    </row>
    <row r="22" spans="1:12" s="1" customFormat="1" ht="17.25" customHeight="1" x14ac:dyDescent="0.2">
      <c r="A22" s="111" t="s">
        <v>32</v>
      </c>
      <c r="B22" s="105">
        <v>5.7</v>
      </c>
      <c r="C22" s="105">
        <v>7.3</v>
      </c>
      <c r="D22" s="105">
        <v>28.1</v>
      </c>
      <c r="E22" s="106">
        <v>1775</v>
      </c>
      <c r="F22" s="106">
        <v>1621</v>
      </c>
      <c r="G22" s="105">
        <v>-8.6999999999999993</v>
      </c>
      <c r="H22" s="105">
        <v>10.1</v>
      </c>
      <c r="I22" s="105">
        <v>11.8</v>
      </c>
      <c r="J22" s="105">
        <v>16.8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0.8</v>
      </c>
      <c r="C30" s="105">
        <v>3.6</v>
      </c>
      <c r="D30" s="105">
        <v>350</v>
      </c>
      <c r="E30" s="106">
        <v>1810</v>
      </c>
      <c r="F30" s="106">
        <v>1634</v>
      </c>
      <c r="G30" s="105">
        <v>-9.6999999999999993</v>
      </c>
      <c r="H30" s="105">
        <v>1.4</v>
      </c>
      <c r="I30" s="105">
        <v>5.9</v>
      </c>
      <c r="J30" s="105">
        <v>321.39999999999998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2081.6</v>
      </c>
      <c r="C32" s="105">
        <v>2140.8000000000002</v>
      </c>
      <c r="D32" s="105">
        <v>2.8</v>
      </c>
      <c r="E32" s="106">
        <v>6390.2357801691014</v>
      </c>
      <c r="F32" s="106">
        <v>6312.1669002242152</v>
      </c>
      <c r="G32" s="105">
        <v>-1.2</v>
      </c>
      <c r="H32" s="105">
        <v>13301.9</v>
      </c>
      <c r="I32" s="105">
        <v>13513.1</v>
      </c>
      <c r="J32" s="105">
        <v>1.6</v>
      </c>
      <c r="K32" s="26"/>
    </row>
    <row r="33" spans="1:14" ht="17.25" customHeight="1" x14ac:dyDescent="0.2">
      <c r="A33" s="107" t="s">
        <v>41</v>
      </c>
      <c r="B33" s="105">
        <v>10.199999999999999</v>
      </c>
      <c r="C33" s="105">
        <v>15.5</v>
      </c>
      <c r="D33" s="105">
        <v>52</v>
      </c>
      <c r="E33" s="106">
        <v>11312</v>
      </c>
      <c r="F33" s="106">
        <v>10997</v>
      </c>
      <c r="G33" s="105">
        <v>-2.8</v>
      </c>
      <c r="H33" s="105">
        <v>115.4</v>
      </c>
      <c r="I33" s="105">
        <v>170.5</v>
      </c>
      <c r="J33" s="105">
        <v>47.7</v>
      </c>
      <c r="K33" s="26"/>
    </row>
    <row r="34" spans="1:14" ht="17.25" customHeight="1" x14ac:dyDescent="0.2">
      <c r="A34" s="107" t="s">
        <v>42</v>
      </c>
      <c r="B34" s="105">
        <v>2071.4</v>
      </c>
      <c r="C34" s="105">
        <v>2125.3000000000002</v>
      </c>
      <c r="D34" s="105">
        <v>2.6</v>
      </c>
      <c r="E34" s="106">
        <v>6366</v>
      </c>
      <c r="F34" s="106">
        <v>6278</v>
      </c>
      <c r="G34" s="105">
        <v>-1.4</v>
      </c>
      <c r="H34" s="105">
        <v>13186.5</v>
      </c>
      <c r="I34" s="105">
        <v>13342.6</v>
      </c>
      <c r="J34" s="105">
        <v>1.2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4253.3999999999996</v>
      </c>
      <c r="C36" s="105">
        <v>4372.5</v>
      </c>
      <c r="D36" s="105">
        <v>2.8</v>
      </c>
      <c r="E36" s="106">
        <v>3339</v>
      </c>
      <c r="F36" s="106">
        <v>3603</v>
      </c>
      <c r="G36" s="105">
        <v>7.9</v>
      </c>
      <c r="H36" s="105">
        <v>14202.1</v>
      </c>
      <c r="I36" s="105">
        <v>15754.1</v>
      </c>
      <c r="J36" s="105">
        <v>10.9</v>
      </c>
      <c r="K36" s="26"/>
    </row>
    <row r="37" spans="1:14" ht="17.25" customHeight="1" x14ac:dyDescent="0.2">
      <c r="A37" s="104" t="s">
        <v>45</v>
      </c>
      <c r="B37" s="105">
        <v>137.80000000000001</v>
      </c>
      <c r="C37" s="105">
        <v>234.3</v>
      </c>
      <c r="D37" s="105">
        <v>70</v>
      </c>
      <c r="E37" s="106">
        <v>4097</v>
      </c>
      <c r="F37" s="106">
        <v>4312</v>
      </c>
      <c r="G37" s="105">
        <v>5.2</v>
      </c>
      <c r="H37" s="105">
        <v>564.6</v>
      </c>
      <c r="I37" s="105">
        <v>1010.3</v>
      </c>
      <c r="J37" s="105">
        <v>78.900000000000006</v>
      </c>
      <c r="K37" s="26"/>
    </row>
    <row r="38" spans="1:14" ht="17.25" customHeight="1" x14ac:dyDescent="0.2">
      <c r="A38" s="113" t="s">
        <v>46</v>
      </c>
      <c r="B38" s="114">
        <v>6568.2</v>
      </c>
      <c r="C38" s="114">
        <v>6845.3</v>
      </c>
      <c r="D38" s="114">
        <v>4.2</v>
      </c>
      <c r="E38" s="115">
        <v>4331</v>
      </c>
      <c r="F38" s="115">
        <v>4475</v>
      </c>
      <c r="G38" s="114">
        <v>3.3</v>
      </c>
      <c r="H38" s="114">
        <v>28446</v>
      </c>
      <c r="I38" s="114">
        <v>30631.5</v>
      </c>
      <c r="J38" s="116">
        <v>7.7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40.4</v>
      </c>
      <c r="C42" s="105">
        <v>27</v>
      </c>
      <c r="D42" s="105">
        <v>-33.200000000000003</v>
      </c>
      <c r="E42" s="106">
        <v>1589</v>
      </c>
      <c r="F42" s="106">
        <v>1680</v>
      </c>
      <c r="G42" s="105">
        <v>5.7</v>
      </c>
      <c r="H42" s="105">
        <v>64.2</v>
      </c>
      <c r="I42" s="105">
        <v>45.4</v>
      </c>
      <c r="J42" s="105">
        <v>-29.3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36.4</v>
      </c>
      <c r="C46" s="105">
        <v>22.5</v>
      </c>
      <c r="D46" s="105">
        <v>-38.200000000000003</v>
      </c>
      <c r="E46" s="106">
        <v>2367</v>
      </c>
      <c r="F46" s="106">
        <v>1635</v>
      </c>
      <c r="G46" s="105">
        <v>-30.9</v>
      </c>
      <c r="H46" s="105">
        <v>86.2</v>
      </c>
      <c r="I46" s="105">
        <v>36.799999999999997</v>
      </c>
      <c r="J46" s="105">
        <v>-57.3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76.8</v>
      </c>
      <c r="C48" s="118">
        <v>49.5</v>
      </c>
      <c r="D48" s="118">
        <v>-35.5</v>
      </c>
      <c r="E48" s="119">
        <v>1958</v>
      </c>
      <c r="F48" s="119">
        <v>1661</v>
      </c>
      <c r="G48" s="118">
        <v>-15.2</v>
      </c>
      <c r="H48" s="118">
        <v>150.4</v>
      </c>
      <c r="I48" s="118">
        <v>82.199999999999989</v>
      </c>
      <c r="J48" s="120">
        <v>-45.3</v>
      </c>
      <c r="K48" s="26"/>
    </row>
    <row r="49" spans="1:17" ht="17.25" customHeight="1" x14ac:dyDescent="0.2">
      <c r="A49" s="121" t="s">
        <v>189</v>
      </c>
      <c r="B49" s="122">
        <v>6645</v>
      </c>
      <c r="C49" s="122">
        <v>6894.8</v>
      </c>
      <c r="D49" s="123">
        <v>3.8</v>
      </c>
      <c r="E49" s="124">
        <v>4303</v>
      </c>
      <c r="F49" s="124">
        <v>4455</v>
      </c>
      <c r="G49" s="123">
        <v>3.5</v>
      </c>
      <c r="H49" s="122">
        <v>28596.400000000001</v>
      </c>
      <c r="I49" s="122">
        <v>30713.7</v>
      </c>
      <c r="J49" s="125">
        <v>7.4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1462</v>
      </c>
      <c r="C8" s="105">
        <v>1386</v>
      </c>
      <c r="D8" s="105">
        <v>-5.2</v>
      </c>
      <c r="E8" s="106">
        <v>2784.1800000000003</v>
      </c>
      <c r="F8" s="106">
        <v>2885.9039999999995</v>
      </c>
      <c r="G8" s="105">
        <v>3.7</v>
      </c>
      <c r="H8" s="105">
        <v>4070.5000000000005</v>
      </c>
      <c r="I8" s="105">
        <v>3999.9</v>
      </c>
      <c r="J8" s="105">
        <v>-1.7</v>
      </c>
      <c r="K8" s="26"/>
    </row>
    <row r="9" spans="1:14" ht="17.25" customHeight="1" x14ac:dyDescent="0.2">
      <c r="A9" s="104" t="s">
        <v>111</v>
      </c>
      <c r="B9" s="105">
        <v>1462</v>
      </c>
      <c r="C9" s="105">
        <v>1386</v>
      </c>
      <c r="D9" s="105">
        <v>-5.2</v>
      </c>
      <c r="E9" s="106">
        <v>1950.82</v>
      </c>
      <c r="F9" s="106">
        <v>2022.0960000000002</v>
      </c>
      <c r="G9" s="105">
        <v>3.7</v>
      </c>
      <c r="H9" s="105">
        <v>2852.1</v>
      </c>
      <c r="I9" s="105">
        <v>2802.6</v>
      </c>
      <c r="J9" s="105">
        <v>-1.7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146.69999999999999</v>
      </c>
      <c r="C13" s="105">
        <v>74.099999999999994</v>
      </c>
      <c r="D13" s="105">
        <v>-49.5</v>
      </c>
      <c r="E13" s="106">
        <v>3661</v>
      </c>
      <c r="F13" s="106">
        <v>3673</v>
      </c>
      <c r="G13" s="105">
        <v>0.3</v>
      </c>
      <c r="H13" s="105">
        <v>537.1</v>
      </c>
      <c r="I13" s="105">
        <v>272.2</v>
      </c>
      <c r="J13" s="105">
        <v>-49.3</v>
      </c>
      <c r="K13" s="26"/>
    </row>
    <row r="14" spans="1:14" ht="17.25" customHeight="1" x14ac:dyDescent="0.2">
      <c r="A14" s="107" t="s">
        <v>25</v>
      </c>
      <c r="B14" s="105">
        <v>146.69999999999999</v>
      </c>
      <c r="C14" s="105">
        <v>74.099999999999994</v>
      </c>
      <c r="D14" s="105">
        <v>-49.5</v>
      </c>
      <c r="E14" s="106">
        <v>3661</v>
      </c>
      <c r="F14" s="106">
        <v>3673</v>
      </c>
      <c r="G14" s="105">
        <v>0.3</v>
      </c>
      <c r="H14" s="105">
        <v>537.1</v>
      </c>
      <c r="I14" s="105">
        <v>272.2</v>
      </c>
      <c r="J14" s="105">
        <v>-49.3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164.2</v>
      </c>
      <c r="C16" s="105">
        <v>205.7</v>
      </c>
      <c r="D16" s="105">
        <v>25.3</v>
      </c>
      <c r="E16" s="106">
        <v>1843.6345919610235</v>
      </c>
      <c r="F16" s="106">
        <v>1669.2751579970834</v>
      </c>
      <c r="G16" s="105">
        <v>-9.5</v>
      </c>
      <c r="H16" s="105">
        <v>302.7</v>
      </c>
      <c r="I16" s="105">
        <v>343.4</v>
      </c>
      <c r="J16" s="105">
        <v>13.4</v>
      </c>
      <c r="K16" s="26"/>
    </row>
    <row r="17" spans="1:12" ht="17.25" customHeight="1" x14ac:dyDescent="0.2">
      <c r="A17" s="107" t="s">
        <v>31</v>
      </c>
      <c r="B17" s="105">
        <v>10.4</v>
      </c>
      <c r="C17" s="105">
        <v>10.199999999999999</v>
      </c>
      <c r="D17" s="105">
        <v>-1.9</v>
      </c>
      <c r="E17" s="106">
        <v>1625.5576923076926</v>
      </c>
      <c r="F17" s="106">
        <v>1645.9607843137255</v>
      </c>
      <c r="G17" s="105">
        <v>1.3</v>
      </c>
      <c r="H17" s="105">
        <v>16.899999999999999</v>
      </c>
      <c r="I17" s="105">
        <v>16.8</v>
      </c>
      <c r="J17" s="105">
        <v>-0.6</v>
      </c>
      <c r="K17" s="26"/>
    </row>
    <row r="18" spans="1:12" s="1" customFormat="1" ht="17.25" customHeight="1" x14ac:dyDescent="0.2">
      <c r="A18" s="111" t="s">
        <v>32</v>
      </c>
      <c r="B18" s="105">
        <v>4.2</v>
      </c>
      <c r="C18" s="105">
        <v>4</v>
      </c>
      <c r="D18" s="105">
        <v>-4.8</v>
      </c>
      <c r="E18" s="106">
        <v>2549</v>
      </c>
      <c r="F18" s="106">
        <v>2548</v>
      </c>
      <c r="G18" s="105">
        <v>0</v>
      </c>
      <c r="H18" s="105">
        <v>10.7</v>
      </c>
      <c r="I18" s="105">
        <v>10.199999999999999</v>
      </c>
      <c r="J18" s="105">
        <v>-4.7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6.2</v>
      </c>
      <c r="C20" s="105">
        <v>6.2</v>
      </c>
      <c r="D20" s="105">
        <v>0</v>
      </c>
      <c r="E20" s="106">
        <v>1000</v>
      </c>
      <c r="F20" s="106">
        <v>1064</v>
      </c>
      <c r="G20" s="105">
        <v>6.4</v>
      </c>
      <c r="H20" s="105">
        <v>6.2</v>
      </c>
      <c r="I20" s="105">
        <v>6.6</v>
      </c>
      <c r="J20" s="105">
        <v>6.5</v>
      </c>
      <c r="K20" s="51"/>
      <c r="L20" s="2"/>
    </row>
    <row r="21" spans="1:12" ht="17.25" customHeight="1" x14ac:dyDescent="0.2">
      <c r="A21" s="107" t="s">
        <v>35</v>
      </c>
      <c r="B21" s="105">
        <v>96.6</v>
      </c>
      <c r="C21" s="105">
        <v>132.80000000000001</v>
      </c>
      <c r="D21" s="105">
        <v>37.5</v>
      </c>
      <c r="E21" s="106">
        <v>1190.68115942029</v>
      </c>
      <c r="F21" s="106">
        <v>1180.1716867469879</v>
      </c>
      <c r="G21" s="105">
        <v>-0.9</v>
      </c>
      <c r="H21" s="105">
        <v>115</v>
      </c>
      <c r="I21" s="105">
        <v>156.69999999999999</v>
      </c>
      <c r="J21" s="105">
        <v>36.299999999999997</v>
      </c>
      <c r="K21" s="26"/>
    </row>
    <row r="22" spans="1:12" s="1" customFormat="1" ht="17.25" customHeight="1" x14ac:dyDescent="0.2">
      <c r="A22" s="111" t="s">
        <v>32</v>
      </c>
      <c r="B22" s="105">
        <v>16.899999999999999</v>
      </c>
      <c r="C22" s="105">
        <v>15.6</v>
      </c>
      <c r="D22" s="105">
        <v>-7.7</v>
      </c>
      <c r="E22" s="106">
        <v>1491</v>
      </c>
      <c r="F22" s="106">
        <v>1497</v>
      </c>
      <c r="G22" s="105">
        <v>0.4</v>
      </c>
      <c r="H22" s="105">
        <v>25.2</v>
      </c>
      <c r="I22" s="105">
        <v>23.4</v>
      </c>
      <c r="J22" s="105">
        <v>-7.1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79.7</v>
      </c>
      <c r="C24" s="105">
        <v>117.2</v>
      </c>
      <c r="D24" s="105">
        <v>47.1</v>
      </c>
      <c r="E24" s="106">
        <v>1127</v>
      </c>
      <c r="F24" s="106">
        <v>1138</v>
      </c>
      <c r="G24" s="105">
        <v>1</v>
      </c>
      <c r="H24" s="105">
        <v>89.8</v>
      </c>
      <c r="I24" s="105">
        <v>133.4</v>
      </c>
      <c r="J24" s="105">
        <v>48.6</v>
      </c>
      <c r="K24" s="51"/>
      <c r="L24" s="2"/>
    </row>
    <row r="25" spans="1:12" ht="17.25" customHeight="1" x14ac:dyDescent="0.2">
      <c r="A25" s="107" t="s">
        <v>36</v>
      </c>
      <c r="B25" s="105">
        <v>57.2</v>
      </c>
      <c r="C25" s="105">
        <v>62.7</v>
      </c>
      <c r="D25" s="105">
        <v>9.6</v>
      </c>
      <c r="E25" s="106">
        <v>2986</v>
      </c>
      <c r="F25" s="106">
        <v>2709</v>
      </c>
      <c r="G25" s="105">
        <v>-9.3000000000000007</v>
      </c>
      <c r="H25" s="105">
        <v>170.8</v>
      </c>
      <c r="I25" s="105">
        <v>169.9</v>
      </c>
      <c r="J25" s="105">
        <v>-0.5</v>
      </c>
      <c r="K25" s="26"/>
    </row>
    <row r="26" spans="1:12" s="1" customFormat="1" ht="17.25" customHeight="1" x14ac:dyDescent="0.2">
      <c r="A26" s="111" t="s">
        <v>32</v>
      </c>
      <c r="B26" s="105">
        <v>57.2</v>
      </c>
      <c r="C26" s="105">
        <v>62.7</v>
      </c>
      <c r="D26" s="105">
        <v>9.6</v>
      </c>
      <c r="E26" s="106">
        <v>2986</v>
      </c>
      <c r="F26" s="106">
        <v>2709</v>
      </c>
      <c r="G26" s="105">
        <v>-9.3000000000000007</v>
      </c>
      <c r="H26" s="105">
        <v>170.8</v>
      </c>
      <c r="I26" s="105">
        <v>169.9</v>
      </c>
      <c r="J26" s="105">
        <v>-0.5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695</v>
      </c>
      <c r="C29" s="105">
        <v>411.4</v>
      </c>
      <c r="D29" s="105">
        <v>-40.799999999999997</v>
      </c>
      <c r="E29" s="106">
        <v>720</v>
      </c>
      <c r="F29" s="106">
        <v>631</v>
      </c>
      <c r="G29" s="105">
        <v>-12.4</v>
      </c>
      <c r="H29" s="105">
        <v>500.4</v>
      </c>
      <c r="I29" s="105">
        <v>259.60000000000002</v>
      </c>
      <c r="J29" s="105">
        <v>-48.1</v>
      </c>
      <c r="K29" s="51"/>
      <c r="L29" s="2"/>
    </row>
    <row r="30" spans="1:12" ht="17.25" customHeight="1" x14ac:dyDescent="0.2">
      <c r="A30" s="104" t="s">
        <v>38</v>
      </c>
      <c r="B30" s="105">
        <v>3.9</v>
      </c>
      <c r="C30" s="105">
        <v>1.2</v>
      </c>
      <c r="D30" s="105">
        <v>-69.2</v>
      </c>
      <c r="E30" s="106">
        <v>1591</v>
      </c>
      <c r="F30" s="106">
        <v>1603</v>
      </c>
      <c r="G30" s="105">
        <v>0.8</v>
      </c>
      <c r="H30" s="105">
        <v>6.2</v>
      </c>
      <c r="I30" s="105">
        <v>1.9</v>
      </c>
      <c r="J30" s="105">
        <v>-69.400000000000006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7287.4</v>
      </c>
      <c r="C32" s="105">
        <v>7619.3</v>
      </c>
      <c r="D32" s="105">
        <v>4.5999999999999996</v>
      </c>
      <c r="E32" s="106">
        <v>7620.851208935972</v>
      </c>
      <c r="F32" s="106">
        <v>7687.98442114105</v>
      </c>
      <c r="G32" s="105">
        <v>0.9</v>
      </c>
      <c r="H32" s="105">
        <v>55536.2</v>
      </c>
      <c r="I32" s="105">
        <v>58577.1</v>
      </c>
      <c r="J32" s="105">
        <v>5.5</v>
      </c>
      <c r="K32" s="26"/>
    </row>
    <row r="33" spans="1:14" ht="17.25" customHeight="1" x14ac:dyDescent="0.2">
      <c r="A33" s="107" t="s">
        <v>41</v>
      </c>
      <c r="B33" s="105">
        <v>72.7</v>
      </c>
      <c r="C33" s="105">
        <v>72.7</v>
      </c>
      <c r="D33" s="105">
        <v>0</v>
      </c>
      <c r="E33" s="106">
        <v>8400</v>
      </c>
      <c r="F33" s="106">
        <v>8413</v>
      </c>
      <c r="G33" s="105">
        <v>0.2</v>
      </c>
      <c r="H33" s="105">
        <v>610.70000000000005</v>
      </c>
      <c r="I33" s="105">
        <v>611.6</v>
      </c>
      <c r="J33" s="105">
        <v>0.1</v>
      </c>
      <c r="K33" s="26"/>
    </row>
    <row r="34" spans="1:14" ht="17.25" customHeight="1" x14ac:dyDescent="0.2">
      <c r="A34" s="107" t="s">
        <v>42</v>
      </c>
      <c r="B34" s="105">
        <v>7214.7</v>
      </c>
      <c r="C34" s="105">
        <v>7546.6</v>
      </c>
      <c r="D34" s="105">
        <v>4.5999999999999996</v>
      </c>
      <c r="E34" s="106">
        <v>7613</v>
      </c>
      <c r="F34" s="106">
        <v>7681</v>
      </c>
      <c r="G34" s="105">
        <v>0.9</v>
      </c>
      <c r="H34" s="105">
        <v>54925.5</v>
      </c>
      <c r="I34" s="105">
        <v>57965.4</v>
      </c>
      <c r="J34" s="105">
        <v>5.5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12738.7</v>
      </c>
      <c r="C36" s="105">
        <v>13006.2</v>
      </c>
      <c r="D36" s="105">
        <v>2.1</v>
      </c>
      <c r="E36" s="106">
        <v>4028</v>
      </c>
      <c r="F36" s="106">
        <v>3969</v>
      </c>
      <c r="G36" s="105">
        <v>-1.5</v>
      </c>
      <c r="H36" s="105">
        <v>51311.5</v>
      </c>
      <c r="I36" s="105">
        <v>51621.599999999999</v>
      </c>
      <c r="J36" s="105">
        <v>0.6</v>
      </c>
      <c r="K36" s="26"/>
    </row>
    <row r="37" spans="1:14" ht="17.25" customHeight="1" x14ac:dyDescent="0.2">
      <c r="A37" s="104" t="s">
        <v>45</v>
      </c>
      <c r="B37" s="105">
        <v>96</v>
      </c>
      <c r="C37" s="105">
        <v>123.1</v>
      </c>
      <c r="D37" s="105">
        <v>28.2</v>
      </c>
      <c r="E37" s="106">
        <v>3569</v>
      </c>
      <c r="F37" s="106">
        <v>3543</v>
      </c>
      <c r="G37" s="105">
        <v>-0.7</v>
      </c>
      <c r="H37" s="105">
        <v>342.6</v>
      </c>
      <c r="I37" s="105">
        <v>436.1</v>
      </c>
      <c r="J37" s="105">
        <v>27.3</v>
      </c>
      <c r="K37" s="26"/>
    </row>
    <row r="38" spans="1:14" ht="17.25" customHeight="1" x14ac:dyDescent="0.2">
      <c r="A38" s="113" t="s">
        <v>46</v>
      </c>
      <c r="B38" s="114">
        <v>22593.9</v>
      </c>
      <c r="C38" s="114">
        <v>22827</v>
      </c>
      <c r="D38" s="114">
        <v>1</v>
      </c>
      <c r="E38" s="115">
        <v>4984</v>
      </c>
      <c r="F38" s="115">
        <v>5060</v>
      </c>
      <c r="G38" s="114">
        <v>1.5</v>
      </c>
      <c r="H38" s="114">
        <v>112607.20000000001</v>
      </c>
      <c r="I38" s="114">
        <v>115511.8</v>
      </c>
      <c r="J38" s="116">
        <v>2.6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190</v>
      </c>
      <c r="B49" s="122">
        <v>22593.9</v>
      </c>
      <c r="C49" s="122">
        <v>22827</v>
      </c>
      <c r="D49" s="123">
        <v>1</v>
      </c>
      <c r="E49" s="124">
        <v>4984</v>
      </c>
      <c r="F49" s="124">
        <v>5060</v>
      </c>
      <c r="G49" s="123">
        <v>1.5</v>
      </c>
      <c r="H49" s="122">
        <v>112607.20000000001</v>
      </c>
      <c r="I49" s="122">
        <v>115511.8</v>
      </c>
      <c r="J49" s="125">
        <v>2.6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0.2</v>
      </c>
      <c r="C8" s="105">
        <v>0.3</v>
      </c>
      <c r="D8" s="105">
        <v>50</v>
      </c>
      <c r="E8" s="106">
        <v>2323.152</v>
      </c>
      <c r="F8" s="106">
        <v>2570.4</v>
      </c>
      <c r="G8" s="105">
        <v>10.6</v>
      </c>
      <c r="H8" s="105">
        <v>0.5</v>
      </c>
      <c r="I8" s="105">
        <v>0.8</v>
      </c>
      <c r="J8" s="105">
        <v>60</v>
      </c>
      <c r="K8" s="26"/>
    </row>
    <row r="9" spans="1:14" ht="17.25" customHeight="1" x14ac:dyDescent="0.2">
      <c r="A9" s="104" t="s">
        <v>111</v>
      </c>
      <c r="B9" s="105">
        <v>0.2</v>
      </c>
      <c r="C9" s="105">
        <v>0.3</v>
      </c>
      <c r="D9" s="105">
        <v>50</v>
      </c>
      <c r="E9" s="106">
        <v>1472.8479999999997</v>
      </c>
      <c r="F9" s="106">
        <v>1629.6000000000001</v>
      </c>
      <c r="G9" s="105">
        <v>10.6</v>
      </c>
      <c r="H9" s="105">
        <v>0.3</v>
      </c>
      <c r="I9" s="105">
        <v>0.5</v>
      </c>
      <c r="J9" s="105">
        <v>66.7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39.5</v>
      </c>
      <c r="C13" s="105">
        <v>36.299999999999997</v>
      </c>
      <c r="D13" s="105">
        <v>-8.1</v>
      </c>
      <c r="E13" s="106">
        <v>2814.1265822784812</v>
      </c>
      <c r="F13" s="106">
        <v>2926.4242424242425</v>
      </c>
      <c r="G13" s="105">
        <v>4</v>
      </c>
      <c r="H13" s="105">
        <v>111.2</v>
      </c>
      <c r="I13" s="105">
        <v>106.2</v>
      </c>
      <c r="J13" s="105">
        <v>-4.5</v>
      </c>
      <c r="K13" s="26"/>
    </row>
    <row r="14" spans="1:14" ht="17.25" customHeight="1" x14ac:dyDescent="0.2">
      <c r="A14" s="107" t="s">
        <v>25</v>
      </c>
      <c r="B14" s="105">
        <v>34</v>
      </c>
      <c r="C14" s="105">
        <v>30.8</v>
      </c>
      <c r="D14" s="105">
        <v>-9.4</v>
      </c>
      <c r="E14" s="106">
        <v>2137</v>
      </c>
      <c r="F14" s="106">
        <v>2199</v>
      </c>
      <c r="G14" s="105">
        <v>2.9</v>
      </c>
      <c r="H14" s="105">
        <v>72.7</v>
      </c>
      <c r="I14" s="105">
        <v>67.7</v>
      </c>
      <c r="J14" s="105">
        <v>-6.9</v>
      </c>
      <c r="K14" s="26"/>
    </row>
    <row r="15" spans="1:14" ht="17.25" customHeight="1" x14ac:dyDescent="0.2">
      <c r="A15" s="107" t="s">
        <v>26</v>
      </c>
      <c r="B15" s="105">
        <v>5.5</v>
      </c>
      <c r="C15" s="105">
        <v>5.5</v>
      </c>
      <c r="D15" s="105">
        <v>0</v>
      </c>
      <c r="E15" s="106">
        <v>7000</v>
      </c>
      <c r="F15" s="106">
        <v>7000</v>
      </c>
      <c r="G15" s="105">
        <v>0</v>
      </c>
      <c r="H15" s="105">
        <v>38.5</v>
      </c>
      <c r="I15" s="105">
        <v>38.5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16.599999999999998</v>
      </c>
      <c r="C16" s="105">
        <v>16.3</v>
      </c>
      <c r="D16" s="105">
        <v>-1.8</v>
      </c>
      <c r="E16" s="106">
        <v>748.11445783132535</v>
      </c>
      <c r="F16" s="106">
        <v>750.19999999999993</v>
      </c>
      <c r="G16" s="105">
        <v>0.3</v>
      </c>
      <c r="H16" s="105">
        <v>12.4</v>
      </c>
      <c r="I16" s="105">
        <v>12.2</v>
      </c>
      <c r="J16" s="105">
        <v>-1.6</v>
      </c>
      <c r="K16" s="26"/>
    </row>
    <row r="17" spans="1:12" ht="17.25" customHeight="1" x14ac:dyDescent="0.2">
      <c r="A17" s="107" t="s">
        <v>31</v>
      </c>
      <c r="B17" s="105">
        <v>2.9</v>
      </c>
      <c r="C17" s="105">
        <v>2.9</v>
      </c>
      <c r="D17" s="105">
        <v>0</v>
      </c>
      <c r="E17" s="106">
        <v>640</v>
      </c>
      <c r="F17" s="106">
        <v>643</v>
      </c>
      <c r="G17" s="105">
        <v>0.5</v>
      </c>
      <c r="H17" s="105">
        <v>1.9</v>
      </c>
      <c r="I17" s="105">
        <v>1.9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2.9</v>
      </c>
      <c r="C18" s="105">
        <v>2.9</v>
      </c>
      <c r="D18" s="105">
        <v>0</v>
      </c>
      <c r="E18" s="106">
        <v>640</v>
      </c>
      <c r="F18" s="106">
        <v>643</v>
      </c>
      <c r="G18" s="105">
        <v>0.5</v>
      </c>
      <c r="H18" s="105">
        <v>1.9</v>
      </c>
      <c r="I18" s="105">
        <v>1.9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13.7</v>
      </c>
      <c r="C25" s="105">
        <v>13.4</v>
      </c>
      <c r="D25" s="105">
        <v>-2.2000000000000002</v>
      </c>
      <c r="E25" s="106">
        <v>771</v>
      </c>
      <c r="F25" s="106">
        <v>773.4</v>
      </c>
      <c r="G25" s="105">
        <v>0.3</v>
      </c>
      <c r="H25" s="105">
        <v>10.6</v>
      </c>
      <c r="I25" s="105">
        <v>10.4</v>
      </c>
      <c r="J25" s="105">
        <v>-1.9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13.7</v>
      </c>
      <c r="C28" s="105">
        <v>13.4</v>
      </c>
      <c r="D28" s="105">
        <v>-2.2000000000000002</v>
      </c>
      <c r="E28" s="106">
        <v>771</v>
      </c>
      <c r="F28" s="106">
        <v>773.4</v>
      </c>
      <c r="G28" s="105">
        <v>0.3</v>
      </c>
      <c r="H28" s="105">
        <v>10.6</v>
      </c>
      <c r="I28" s="105">
        <v>10.4</v>
      </c>
      <c r="J28" s="105">
        <v>-1.9</v>
      </c>
      <c r="K28" s="51"/>
      <c r="L28" s="2"/>
    </row>
    <row r="29" spans="1:12" s="1" customFormat="1" ht="17.25" customHeight="1" x14ac:dyDescent="0.2">
      <c r="A29" s="104" t="s">
        <v>37</v>
      </c>
      <c r="B29" s="105">
        <v>112.8</v>
      </c>
      <c r="C29" s="105">
        <v>112.9</v>
      </c>
      <c r="D29" s="105">
        <v>0.1</v>
      </c>
      <c r="E29" s="106">
        <v>506</v>
      </c>
      <c r="F29" s="106">
        <v>512</v>
      </c>
      <c r="G29" s="105">
        <v>1.2</v>
      </c>
      <c r="H29" s="105">
        <v>57.1</v>
      </c>
      <c r="I29" s="105">
        <v>57.8</v>
      </c>
      <c r="J29" s="105">
        <v>1.2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512.20000000000005</v>
      </c>
      <c r="C32" s="105">
        <v>551.9</v>
      </c>
      <c r="D32" s="105">
        <v>7.8</v>
      </c>
      <c r="E32" s="106">
        <v>4206.4482623975</v>
      </c>
      <c r="F32" s="106">
        <v>4487.5138612067403</v>
      </c>
      <c r="G32" s="105">
        <v>6.7</v>
      </c>
      <c r="H32" s="105">
        <v>2154.5</v>
      </c>
      <c r="I32" s="105">
        <v>2476.6999999999998</v>
      </c>
      <c r="J32" s="105">
        <v>15</v>
      </c>
      <c r="K32" s="26"/>
    </row>
    <row r="33" spans="1:14" ht="17.25" customHeight="1" x14ac:dyDescent="0.2">
      <c r="A33" s="107" t="s">
        <v>41</v>
      </c>
      <c r="B33" s="105">
        <v>222.9</v>
      </c>
      <c r="C33" s="105">
        <v>193.5</v>
      </c>
      <c r="D33" s="105">
        <v>-13.2</v>
      </c>
      <c r="E33" s="106">
        <v>3610</v>
      </c>
      <c r="F33" s="106">
        <v>3379</v>
      </c>
      <c r="G33" s="105">
        <v>-6.4</v>
      </c>
      <c r="H33" s="105">
        <v>804.7</v>
      </c>
      <c r="I33" s="105">
        <v>653.79999999999995</v>
      </c>
      <c r="J33" s="105">
        <v>-18.8</v>
      </c>
      <c r="K33" s="26"/>
    </row>
    <row r="34" spans="1:14" ht="17.25" customHeight="1" x14ac:dyDescent="0.2">
      <c r="A34" s="107" t="s">
        <v>42</v>
      </c>
      <c r="B34" s="105">
        <v>289.3</v>
      </c>
      <c r="C34" s="105">
        <v>358.4</v>
      </c>
      <c r="D34" s="105">
        <v>23.9</v>
      </c>
      <c r="E34" s="106">
        <v>4666</v>
      </c>
      <c r="F34" s="106">
        <v>5086</v>
      </c>
      <c r="G34" s="105">
        <v>9</v>
      </c>
      <c r="H34" s="105">
        <v>1349.9</v>
      </c>
      <c r="I34" s="105">
        <v>1822.8</v>
      </c>
      <c r="J34" s="105">
        <v>35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1260.3</v>
      </c>
      <c r="C36" s="105">
        <v>1425.4</v>
      </c>
      <c r="D36" s="105">
        <v>13.1</v>
      </c>
      <c r="E36" s="106">
        <v>3568</v>
      </c>
      <c r="F36" s="106">
        <v>3785</v>
      </c>
      <c r="G36" s="105">
        <v>6.1</v>
      </c>
      <c r="H36" s="105">
        <v>4496.8</v>
      </c>
      <c r="I36" s="105">
        <v>5395.1</v>
      </c>
      <c r="J36" s="105">
        <v>20</v>
      </c>
      <c r="K36" s="26"/>
    </row>
    <row r="37" spans="1:14" ht="17.25" customHeight="1" x14ac:dyDescent="0.2">
      <c r="A37" s="104" t="s">
        <v>45</v>
      </c>
      <c r="B37" s="105">
        <v>82.2</v>
      </c>
      <c r="C37" s="105">
        <v>115.6</v>
      </c>
      <c r="D37" s="105">
        <v>40.6</v>
      </c>
      <c r="E37" s="106">
        <v>2549</v>
      </c>
      <c r="F37" s="106">
        <v>2561</v>
      </c>
      <c r="G37" s="105">
        <v>0.5</v>
      </c>
      <c r="H37" s="105">
        <v>209.5</v>
      </c>
      <c r="I37" s="105">
        <v>296.10000000000002</v>
      </c>
      <c r="J37" s="105">
        <v>41.3</v>
      </c>
      <c r="K37" s="26"/>
    </row>
    <row r="38" spans="1:14" ht="17.25" customHeight="1" x14ac:dyDescent="0.2">
      <c r="A38" s="113" t="s">
        <v>46</v>
      </c>
      <c r="B38" s="114">
        <v>2023.8</v>
      </c>
      <c r="C38" s="114">
        <v>2258.7000000000003</v>
      </c>
      <c r="D38" s="114">
        <v>11.6</v>
      </c>
      <c r="E38" s="115">
        <v>3480</v>
      </c>
      <c r="F38" s="115">
        <v>3695</v>
      </c>
      <c r="G38" s="114">
        <v>6.2</v>
      </c>
      <c r="H38" s="114">
        <v>7042</v>
      </c>
      <c r="I38" s="114">
        <v>8344.9</v>
      </c>
      <c r="J38" s="116">
        <v>18.5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191</v>
      </c>
      <c r="B49" s="122">
        <v>2023.8</v>
      </c>
      <c r="C49" s="122">
        <v>2258.7000000000003</v>
      </c>
      <c r="D49" s="123">
        <v>11.6</v>
      </c>
      <c r="E49" s="124">
        <v>3480</v>
      </c>
      <c r="F49" s="124">
        <v>3695</v>
      </c>
      <c r="G49" s="123">
        <v>6.2</v>
      </c>
      <c r="H49" s="122">
        <v>7042</v>
      </c>
      <c r="I49" s="122">
        <v>8344.9</v>
      </c>
      <c r="J49" s="125">
        <v>18.5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0.5</v>
      </c>
      <c r="C8" s="105">
        <v>0.4</v>
      </c>
      <c r="D8" s="105">
        <v>-20</v>
      </c>
      <c r="E8" s="106">
        <v>364.15999999999997</v>
      </c>
      <c r="F8" s="106">
        <v>382.72</v>
      </c>
      <c r="G8" s="105">
        <v>5.0999999999999996</v>
      </c>
      <c r="H8" s="105">
        <v>0.19999999999999998</v>
      </c>
      <c r="I8" s="105">
        <v>0.1</v>
      </c>
      <c r="J8" s="105">
        <v>-50</v>
      </c>
      <c r="K8" s="26"/>
    </row>
    <row r="9" spans="1:14" ht="17.25" customHeight="1" x14ac:dyDescent="0.2">
      <c r="A9" s="104" t="s">
        <v>111</v>
      </c>
      <c r="B9" s="105">
        <v>0.5</v>
      </c>
      <c r="C9" s="105">
        <v>0.4</v>
      </c>
      <c r="D9" s="105">
        <v>-20</v>
      </c>
      <c r="E9" s="106">
        <v>204.84</v>
      </c>
      <c r="F9" s="106">
        <v>215.28</v>
      </c>
      <c r="G9" s="105">
        <v>5.0999999999999996</v>
      </c>
      <c r="H9" s="105">
        <v>0.1</v>
      </c>
      <c r="I9" s="105">
        <v>0.1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0.7</v>
      </c>
      <c r="C10" s="105">
        <v>0.5</v>
      </c>
      <c r="D10" s="105">
        <v>-28.6</v>
      </c>
      <c r="E10" s="106">
        <v>761</v>
      </c>
      <c r="F10" s="106">
        <v>593</v>
      </c>
      <c r="G10" s="105">
        <v>-22.1</v>
      </c>
      <c r="H10" s="105">
        <v>0.5</v>
      </c>
      <c r="I10" s="105">
        <v>0.3</v>
      </c>
      <c r="J10" s="105">
        <v>-40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0.7</v>
      </c>
      <c r="C12" s="105">
        <v>0.5</v>
      </c>
      <c r="D12" s="105">
        <v>-28.6</v>
      </c>
      <c r="E12" s="106">
        <v>761</v>
      </c>
      <c r="F12" s="106">
        <v>593</v>
      </c>
      <c r="G12" s="105">
        <v>-22.1</v>
      </c>
      <c r="H12" s="105">
        <v>0.5</v>
      </c>
      <c r="I12" s="105">
        <v>0.3</v>
      </c>
      <c r="J12" s="105">
        <v>-40</v>
      </c>
      <c r="K12" s="26"/>
    </row>
    <row r="13" spans="1:14" ht="17.25" customHeight="1" x14ac:dyDescent="0.2">
      <c r="A13" s="104" t="s">
        <v>24</v>
      </c>
      <c r="B13" s="105">
        <v>2.6999999999999997</v>
      </c>
      <c r="C13" s="105">
        <v>1.6</v>
      </c>
      <c r="D13" s="105">
        <v>-40.700000000000003</v>
      </c>
      <c r="E13" s="106">
        <v>1311.4814814814815</v>
      </c>
      <c r="F13" s="106">
        <v>1603.75</v>
      </c>
      <c r="G13" s="105">
        <v>22.3</v>
      </c>
      <c r="H13" s="105">
        <v>3.5</v>
      </c>
      <c r="I13" s="105">
        <v>2.6</v>
      </c>
      <c r="J13" s="105">
        <v>-25.7</v>
      </c>
      <c r="K13" s="26"/>
    </row>
    <row r="14" spans="1:14" ht="17.25" customHeight="1" x14ac:dyDescent="0.2">
      <c r="A14" s="107" t="s">
        <v>25</v>
      </c>
      <c r="B14" s="105">
        <v>2.2999999999999998</v>
      </c>
      <c r="C14" s="105">
        <v>1.2</v>
      </c>
      <c r="D14" s="105">
        <v>-47.8</v>
      </c>
      <c r="E14" s="106">
        <v>962</v>
      </c>
      <c r="F14" s="106">
        <v>665</v>
      </c>
      <c r="G14" s="105">
        <v>-30.9</v>
      </c>
      <c r="H14" s="105">
        <v>2.2000000000000002</v>
      </c>
      <c r="I14" s="105">
        <v>0.8</v>
      </c>
      <c r="J14" s="105">
        <v>-63.6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0.4</v>
      </c>
      <c r="D15" s="105">
        <v>0</v>
      </c>
      <c r="E15" s="106">
        <v>3321</v>
      </c>
      <c r="F15" s="106">
        <v>4420</v>
      </c>
      <c r="G15" s="105">
        <v>33.1</v>
      </c>
      <c r="H15" s="105">
        <v>1.3</v>
      </c>
      <c r="I15" s="105">
        <v>1.8</v>
      </c>
      <c r="J15" s="105">
        <v>38.5</v>
      </c>
      <c r="K15" s="26"/>
    </row>
    <row r="16" spans="1:14" ht="17.25" customHeight="1" x14ac:dyDescent="0.2">
      <c r="A16" s="104" t="s">
        <v>27</v>
      </c>
      <c r="B16" s="105">
        <v>103.10000000000001</v>
      </c>
      <c r="C16" s="105">
        <v>89.199999999999989</v>
      </c>
      <c r="D16" s="105">
        <v>-13.5</v>
      </c>
      <c r="E16" s="106">
        <v>292.72356935014545</v>
      </c>
      <c r="F16" s="106">
        <v>344.50672645739917</v>
      </c>
      <c r="G16" s="105">
        <v>17.7</v>
      </c>
      <c r="H16" s="105">
        <v>30.2</v>
      </c>
      <c r="I16" s="105">
        <v>30.7</v>
      </c>
      <c r="J16" s="105">
        <v>1.7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101.7</v>
      </c>
      <c r="C21" s="105">
        <v>87.6</v>
      </c>
      <c r="D21" s="105">
        <v>-13.9</v>
      </c>
      <c r="E21" s="106">
        <v>292.85742379547685</v>
      </c>
      <c r="F21" s="106">
        <v>343.63926940639271</v>
      </c>
      <c r="G21" s="105">
        <v>17.3</v>
      </c>
      <c r="H21" s="105">
        <v>29.8</v>
      </c>
      <c r="I21" s="105">
        <v>30.1</v>
      </c>
      <c r="J21" s="105">
        <v>1</v>
      </c>
      <c r="K21" s="26"/>
    </row>
    <row r="22" spans="1:12" s="1" customFormat="1" ht="17.25" customHeight="1" x14ac:dyDescent="0.2">
      <c r="A22" s="111" t="s">
        <v>32</v>
      </c>
      <c r="B22" s="105">
        <v>26.3</v>
      </c>
      <c r="C22" s="105">
        <v>19.399999999999999</v>
      </c>
      <c r="D22" s="105">
        <v>-26.2</v>
      </c>
      <c r="E22" s="106">
        <v>296</v>
      </c>
      <c r="F22" s="106">
        <v>355</v>
      </c>
      <c r="G22" s="105">
        <v>19.899999999999999</v>
      </c>
      <c r="H22" s="105">
        <v>7.8</v>
      </c>
      <c r="I22" s="105">
        <v>6.9</v>
      </c>
      <c r="J22" s="105">
        <v>-11.5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1.4</v>
      </c>
      <c r="C23" s="105">
        <v>1.2</v>
      </c>
      <c r="D23" s="105">
        <v>-14.3</v>
      </c>
      <c r="E23" s="106">
        <v>332</v>
      </c>
      <c r="F23" s="106">
        <v>419</v>
      </c>
      <c r="G23" s="105">
        <v>26.2</v>
      </c>
      <c r="H23" s="105">
        <v>0.5</v>
      </c>
      <c r="I23" s="105">
        <v>0.5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74</v>
      </c>
      <c r="C24" s="105">
        <v>67</v>
      </c>
      <c r="D24" s="105">
        <v>-9.5</v>
      </c>
      <c r="E24" s="106">
        <v>291</v>
      </c>
      <c r="F24" s="106">
        <v>339</v>
      </c>
      <c r="G24" s="105">
        <v>16.5</v>
      </c>
      <c r="H24" s="105">
        <v>21.5</v>
      </c>
      <c r="I24" s="105">
        <v>22.7</v>
      </c>
      <c r="J24" s="105">
        <v>5.6</v>
      </c>
      <c r="K24" s="51"/>
      <c r="L24" s="2"/>
    </row>
    <row r="25" spans="1:12" ht="17.25" customHeight="1" x14ac:dyDescent="0.2">
      <c r="A25" s="107" t="s">
        <v>36</v>
      </c>
      <c r="B25" s="105">
        <v>1.4</v>
      </c>
      <c r="C25" s="105">
        <v>1.6</v>
      </c>
      <c r="D25" s="105">
        <v>14.3</v>
      </c>
      <c r="E25" s="106">
        <v>283</v>
      </c>
      <c r="F25" s="106">
        <v>392</v>
      </c>
      <c r="G25" s="105">
        <v>38.5</v>
      </c>
      <c r="H25" s="105">
        <v>0.4</v>
      </c>
      <c r="I25" s="105">
        <v>0.6</v>
      </c>
      <c r="J25" s="105">
        <v>50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1.4</v>
      </c>
      <c r="C27" s="105">
        <v>1.6</v>
      </c>
      <c r="D27" s="105">
        <v>14.3</v>
      </c>
      <c r="E27" s="106">
        <v>283</v>
      </c>
      <c r="F27" s="106">
        <v>392</v>
      </c>
      <c r="G27" s="105">
        <v>38.5</v>
      </c>
      <c r="H27" s="105">
        <v>0.4</v>
      </c>
      <c r="I27" s="105">
        <v>0.6</v>
      </c>
      <c r="J27" s="105">
        <v>50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117.2</v>
      </c>
      <c r="C32" s="105">
        <v>99.6</v>
      </c>
      <c r="D32" s="105">
        <v>-15</v>
      </c>
      <c r="E32" s="106">
        <v>449</v>
      </c>
      <c r="F32" s="106">
        <v>543</v>
      </c>
      <c r="G32" s="105">
        <v>20.9</v>
      </c>
      <c r="H32" s="105">
        <v>52.6</v>
      </c>
      <c r="I32" s="105">
        <v>54.1</v>
      </c>
      <c r="J32" s="105">
        <v>2.9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117.2</v>
      </c>
      <c r="C34" s="105">
        <v>99.6</v>
      </c>
      <c r="D34" s="105">
        <v>-15</v>
      </c>
      <c r="E34" s="106">
        <v>449</v>
      </c>
      <c r="F34" s="106">
        <v>543</v>
      </c>
      <c r="G34" s="105">
        <v>20.9</v>
      </c>
      <c r="H34" s="105">
        <v>52.6</v>
      </c>
      <c r="I34" s="105">
        <v>54.1</v>
      </c>
      <c r="J34" s="105">
        <v>2.9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224.20000000000002</v>
      </c>
      <c r="C38" s="114">
        <v>191.29999999999998</v>
      </c>
      <c r="D38" s="114">
        <v>-14.7</v>
      </c>
      <c r="E38" s="115">
        <v>388</v>
      </c>
      <c r="F38" s="115">
        <v>459</v>
      </c>
      <c r="G38" s="114">
        <v>18.3</v>
      </c>
      <c r="H38" s="114">
        <v>87</v>
      </c>
      <c r="I38" s="114">
        <v>87.800000000000011</v>
      </c>
      <c r="J38" s="116">
        <v>0.9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192</v>
      </c>
      <c r="B49" s="122">
        <v>224.20000000000002</v>
      </c>
      <c r="C49" s="122">
        <v>191.29999999999998</v>
      </c>
      <c r="D49" s="123">
        <v>-14.7</v>
      </c>
      <c r="E49" s="124">
        <v>388</v>
      </c>
      <c r="F49" s="124">
        <v>459</v>
      </c>
      <c r="G49" s="123">
        <v>18.3</v>
      </c>
      <c r="H49" s="122">
        <v>87</v>
      </c>
      <c r="I49" s="122">
        <v>87.800000000000011</v>
      </c>
      <c r="J49" s="125">
        <v>0.9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</v>
      </c>
      <c r="C13" s="105">
        <v>0</v>
      </c>
      <c r="D13" s="105">
        <v>0</v>
      </c>
      <c r="E13" s="106">
        <v>0</v>
      </c>
      <c r="F13" s="106">
        <v>0</v>
      </c>
      <c r="G13" s="105">
        <v>0</v>
      </c>
      <c r="H13" s="105">
        <v>0</v>
      </c>
      <c r="I13" s="105">
        <v>0</v>
      </c>
      <c r="J13" s="105">
        <v>0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173.7</v>
      </c>
      <c r="C16" s="105">
        <v>170.10000000000002</v>
      </c>
      <c r="D16" s="105">
        <v>-2.1</v>
      </c>
      <c r="E16" s="106">
        <v>707.8560736902707</v>
      </c>
      <c r="F16" s="106">
        <v>744.67372134038794</v>
      </c>
      <c r="G16" s="105">
        <v>5.2</v>
      </c>
      <c r="H16" s="105">
        <v>123</v>
      </c>
      <c r="I16" s="105">
        <v>126.7</v>
      </c>
      <c r="J16" s="105">
        <v>3</v>
      </c>
      <c r="K16" s="26"/>
    </row>
    <row r="17" spans="1:12" ht="17.25" customHeight="1" x14ac:dyDescent="0.2">
      <c r="A17" s="107" t="s">
        <v>31</v>
      </c>
      <c r="B17" s="105">
        <v>5</v>
      </c>
      <c r="C17" s="105">
        <v>5</v>
      </c>
      <c r="D17" s="105">
        <v>0</v>
      </c>
      <c r="E17" s="106">
        <v>540</v>
      </c>
      <c r="F17" s="106">
        <v>520</v>
      </c>
      <c r="G17" s="105">
        <v>-3.7</v>
      </c>
      <c r="H17" s="105">
        <v>2.7</v>
      </c>
      <c r="I17" s="105">
        <v>2.6</v>
      </c>
      <c r="J17" s="105">
        <v>-3.7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5</v>
      </c>
      <c r="C20" s="105">
        <v>5</v>
      </c>
      <c r="D20" s="105">
        <v>0</v>
      </c>
      <c r="E20" s="106">
        <v>540</v>
      </c>
      <c r="F20" s="106">
        <v>520</v>
      </c>
      <c r="G20" s="105">
        <v>-3.7</v>
      </c>
      <c r="H20" s="105">
        <v>2.7</v>
      </c>
      <c r="I20" s="105">
        <v>2.6</v>
      </c>
      <c r="J20" s="105">
        <v>-3.7</v>
      </c>
      <c r="K20" s="51"/>
      <c r="L20" s="2"/>
    </row>
    <row r="21" spans="1:12" ht="17.25" customHeight="1" x14ac:dyDescent="0.2">
      <c r="A21" s="107" t="s">
        <v>35</v>
      </c>
      <c r="B21" s="105">
        <v>86</v>
      </c>
      <c r="C21" s="105">
        <v>85.100000000000009</v>
      </c>
      <c r="D21" s="105">
        <v>-1</v>
      </c>
      <c r="E21" s="106">
        <v>342.26046511627908</v>
      </c>
      <c r="F21" s="106">
        <v>408.49588719153934</v>
      </c>
      <c r="G21" s="105">
        <v>19.399999999999999</v>
      </c>
      <c r="H21" s="105">
        <v>29.4</v>
      </c>
      <c r="I21" s="105">
        <v>34.799999999999997</v>
      </c>
      <c r="J21" s="105">
        <v>18.399999999999999</v>
      </c>
      <c r="K21" s="26"/>
    </row>
    <row r="22" spans="1:12" s="1" customFormat="1" ht="17.25" customHeight="1" x14ac:dyDescent="0.2">
      <c r="A22" s="111" t="s">
        <v>32</v>
      </c>
      <c r="B22" s="105">
        <v>1.8</v>
      </c>
      <c r="C22" s="105">
        <v>1.2</v>
      </c>
      <c r="D22" s="105">
        <v>-33.299999999999997</v>
      </c>
      <c r="E22" s="106">
        <v>448</v>
      </c>
      <c r="F22" s="106">
        <v>583</v>
      </c>
      <c r="G22" s="105">
        <v>30.1</v>
      </c>
      <c r="H22" s="105">
        <v>0.8</v>
      </c>
      <c r="I22" s="105">
        <v>0.7</v>
      </c>
      <c r="J22" s="105">
        <v>-12.5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84.2</v>
      </c>
      <c r="C24" s="105">
        <v>83.9</v>
      </c>
      <c r="D24" s="105">
        <v>-0.4</v>
      </c>
      <c r="E24" s="106">
        <v>340</v>
      </c>
      <c r="F24" s="106">
        <v>406</v>
      </c>
      <c r="G24" s="105">
        <v>19.399999999999999</v>
      </c>
      <c r="H24" s="105">
        <v>28.6</v>
      </c>
      <c r="I24" s="105">
        <v>34.1</v>
      </c>
      <c r="J24" s="105">
        <v>19.2</v>
      </c>
      <c r="K24" s="51"/>
      <c r="L24" s="2"/>
    </row>
    <row r="25" spans="1:12" ht="17.25" customHeight="1" x14ac:dyDescent="0.2">
      <c r="A25" s="107" t="s">
        <v>36</v>
      </c>
      <c r="B25" s="105">
        <v>82.7</v>
      </c>
      <c r="C25" s="105">
        <v>80</v>
      </c>
      <c r="D25" s="105">
        <v>-3.3</v>
      </c>
      <c r="E25" s="106">
        <v>1098.1886336154778</v>
      </c>
      <c r="F25" s="106">
        <v>1116.325</v>
      </c>
      <c r="G25" s="105">
        <v>1.7</v>
      </c>
      <c r="H25" s="105">
        <v>90.8</v>
      </c>
      <c r="I25" s="105">
        <v>89.3</v>
      </c>
      <c r="J25" s="105">
        <v>-1.7</v>
      </c>
      <c r="K25" s="26"/>
    </row>
    <row r="26" spans="1:12" s="1" customFormat="1" ht="17.25" customHeight="1" x14ac:dyDescent="0.2">
      <c r="A26" s="111" t="s">
        <v>32</v>
      </c>
      <c r="B26" s="105">
        <v>50.6</v>
      </c>
      <c r="C26" s="105">
        <v>49.2</v>
      </c>
      <c r="D26" s="105">
        <v>-2.8</v>
      </c>
      <c r="E26" s="106">
        <v>1233</v>
      </c>
      <c r="F26" s="106">
        <v>1244</v>
      </c>
      <c r="G26" s="105">
        <v>0.9</v>
      </c>
      <c r="H26" s="105">
        <v>62.4</v>
      </c>
      <c r="I26" s="105">
        <v>61.2</v>
      </c>
      <c r="J26" s="105">
        <v>-1.9</v>
      </c>
      <c r="K26" s="51"/>
      <c r="L26" s="2"/>
    </row>
    <row r="27" spans="1:12" s="1" customFormat="1" ht="17.25" customHeight="1" x14ac:dyDescent="0.2">
      <c r="A27" s="111" t="s">
        <v>33</v>
      </c>
      <c r="B27" s="105">
        <v>12</v>
      </c>
      <c r="C27" s="105">
        <v>12</v>
      </c>
      <c r="D27" s="105">
        <v>0</v>
      </c>
      <c r="E27" s="106">
        <v>1324</v>
      </c>
      <c r="F27" s="106">
        <v>1325</v>
      </c>
      <c r="G27" s="105">
        <v>0.1</v>
      </c>
      <c r="H27" s="105">
        <v>15.9</v>
      </c>
      <c r="I27" s="105">
        <v>15.9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20.100000000000001</v>
      </c>
      <c r="C28" s="105">
        <v>18.8</v>
      </c>
      <c r="D28" s="105">
        <v>-6.5</v>
      </c>
      <c r="E28" s="106">
        <v>624</v>
      </c>
      <c r="F28" s="106">
        <v>649</v>
      </c>
      <c r="G28" s="105">
        <v>4</v>
      </c>
      <c r="H28" s="105">
        <v>12.5</v>
      </c>
      <c r="I28" s="105">
        <v>12.2</v>
      </c>
      <c r="J28" s="105">
        <v>-2.4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196.2</v>
      </c>
      <c r="C32" s="105">
        <v>195.39999999999998</v>
      </c>
      <c r="D32" s="105">
        <v>-0.4</v>
      </c>
      <c r="E32" s="106">
        <v>1150.5005096839961</v>
      </c>
      <c r="F32" s="106">
        <v>1148.6653019447288</v>
      </c>
      <c r="G32" s="105">
        <v>-0.2</v>
      </c>
      <c r="H32" s="105">
        <v>225.7</v>
      </c>
      <c r="I32" s="105">
        <v>224.4</v>
      </c>
      <c r="J32" s="105">
        <v>-0.6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130.4</v>
      </c>
      <c r="C34" s="105">
        <v>128.6</v>
      </c>
      <c r="D34" s="105">
        <v>-1.4</v>
      </c>
      <c r="E34" s="106">
        <v>794</v>
      </c>
      <c r="F34" s="106">
        <v>788</v>
      </c>
      <c r="G34" s="105">
        <v>-0.8</v>
      </c>
      <c r="H34" s="105">
        <v>103.5</v>
      </c>
      <c r="I34" s="105">
        <v>101.3</v>
      </c>
      <c r="J34" s="105">
        <v>-2.1</v>
      </c>
      <c r="K34" s="26"/>
    </row>
    <row r="35" spans="1:14" ht="17.25" customHeight="1" x14ac:dyDescent="0.2">
      <c r="A35" s="107" t="s">
        <v>43</v>
      </c>
      <c r="B35" s="105">
        <v>65.8</v>
      </c>
      <c r="C35" s="105">
        <v>66.8</v>
      </c>
      <c r="D35" s="105">
        <v>1.5</v>
      </c>
      <c r="E35" s="106">
        <v>1857</v>
      </c>
      <c r="F35" s="106">
        <v>1843</v>
      </c>
      <c r="G35" s="105">
        <v>-0.8</v>
      </c>
      <c r="H35" s="105">
        <v>122.2</v>
      </c>
      <c r="I35" s="105">
        <v>123.1</v>
      </c>
      <c r="J35" s="105">
        <v>0.7</v>
      </c>
      <c r="K35" s="26"/>
    </row>
    <row r="36" spans="1:14" ht="17.25" customHeight="1" x14ac:dyDescent="0.2">
      <c r="A36" s="104" t="s">
        <v>44</v>
      </c>
      <c r="B36" s="105">
        <v>0.8</v>
      </c>
      <c r="C36" s="105">
        <v>0.8</v>
      </c>
      <c r="D36" s="105">
        <v>0</v>
      </c>
      <c r="E36" s="106">
        <v>3000</v>
      </c>
      <c r="F36" s="106">
        <v>3000</v>
      </c>
      <c r="G36" s="105">
        <v>0</v>
      </c>
      <c r="H36" s="105">
        <v>2.4</v>
      </c>
      <c r="I36" s="105">
        <v>2.4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370.7</v>
      </c>
      <c r="C38" s="114">
        <v>366.3</v>
      </c>
      <c r="D38" s="114">
        <v>-1.2</v>
      </c>
      <c r="E38" s="115">
        <v>947</v>
      </c>
      <c r="F38" s="115">
        <v>965</v>
      </c>
      <c r="G38" s="114">
        <v>1.9</v>
      </c>
      <c r="H38" s="114">
        <v>351.09999999999997</v>
      </c>
      <c r="I38" s="114">
        <v>353.5</v>
      </c>
      <c r="J38" s="116">
        <v>0.7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193</v>
      </c>
      <c r="B49" s="122">
        <v>370.7</v>
      </c>
      <c r="C49" s="122">
        <v>366.3</v>
      </c>
      <c r="D49" s="123">
        <v>-1.2</v>
      </c>
      <c r="E49" s="124">
        <v>947</v>
      </c>
      <c r="F49" s="124">
        <v>965</v>
      </c>
      <c r="G49" s="123">
        <v>1.9</v>
      </c>
      <c r="H49" s="122">
        <v>351.09999999999997</v>
      </c>
      <c r="I49" s="122">
        <v>353.5</v>
      </c>
      <c r="J49" s="125">
        <v>0.7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33.700000000000003</v>
      </c>
      <c r="C8" s="105">
        <v>43.4</v>
      </c>
      <c r="D8" s="105">
        <v>28.8</v>
      </c>
      <c r="E8" s="106">
        <v>2702.7900000000004</v>
      </c>
      <c r="F8" s="106">
        <v>3065.64</v>
      </c>
      <c r="G8" s="105">
        <v>13.4</v>
      </c>
      <c r="H8" s="105">
        <v>91.100000000000009</v>
      </c>
      <c r="I8" s="105">
        <v>133</v>
      </c>
      <c r="J8" s="105">
        <v>46</v>
      </c>
      <c r="K8" s="26"/>
    </row>
    <row r="9" spans="1:14" ht="17.25" customHeight="1" x14ac:dyDescent="0.2">
      <c r="A9" s="104" t="s">
        <v>111</v>
      </c>
      <c r="B9" s="105">
        <v>33.700000000000003</v>
      </c>
      <c r="C9" s="105">
        <v>43.4</v>
      </c>
      <c r="D9" s="105">
        <v>28.8</v>
      </c>
      <c r="E9" s="106">
        <v>1878.21</v>
      </c>
      <c r="F9" s="106">
        <v>2130.36</v>
      </c>
      <c r="G9" s="105">
        <v>13.4</v>
      </c>
      <c r="H9" s="105">
        <v>63.3</v>
      </c>
      <c r="I9" s="105">
        <v>92.5</v>
      </c>
      <c r="J9" s="105">
        <v>46.1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56.5</v>
      </c>
      <c r="C13" s="105">
        <v>51.5</v>
      </c>
      <c r="D13" s="105">
        <v>-8.8000000000000007</v>
      </c>
      <c r="E13" s="106">
        <v>1756.4106194690264</v>
      </c>
      <c r="F13" s="106">
        <v>1850.2737864077669</v>
      </c>
      <c r="G13" s="105">
        <v>5.3</v>
      </c>
      <c r="H13" s="105">
        <v>99.3</v>
      </c>
      <c r="I13" s="105">
        <v>95.3</v>
      </c>
      <c r="J13" s="105">
        <v>-4</v>
      </c>
      <c r="K13" s="26"/>
    </row>
    <row r="14" spans="1:14" ht="17.25" customHeight="1" x14ac:dyDescent="0.2">
      <c r="A14" s="107" t="s">
        <v>25</v>
      </c>
      <c r="B14" s="105">
        <v>51.7</v>
      </c>
      <c r="C14" s="105">
        <v>46.9</v>
      </c>
      <c r="D14" s="105">
        <v>-9.3000000000000007</v>
      </c>
      <c r="E14" s="106">
        <v>1460</v>
      </c>
      <c r="F14" s="106">
        <v>1559</v>
      </c>
      <c r="G14" s="105">
        <v>6.8</v>
      </c>
      <c r="H14" s="105">
        <v>75.5</v>
      </c>
      <c r="I14" s="105">
        <v>73.099999999999994</v>
      </c>
      <c r="J14" s="105">
        <v>-3.2</v>
      </c>
      <c r="K14" s="26"/>
    </row>
    <row r="15" spans="1:14" ht="17.25" customHeight="1" x14ac:dyDescent="0.2">
      <c r="A15" s="107" t="s">
        <v>26</v>
      </c>
      <c r="B15" s="105">
        <v>4.8</v>
      </c>
      <c r="C15" s="105">
        <v>4.5999999999999996</v>
      </c>
      <c r="D15" s="105">
        <v>-4.2</v>
      </c>
      <c r="E15" s="106">
        <v>4949</v>
      </c>
      <c r="F15" s="106">
        <v>4820</v>
      </c>
      <c r="G15" s="105">
        <v>-2.6</v>
      </c>
      <c r="H15" s="105">
        <v>23.8</v>
      </c>
      <c r="I15" s="105">
        <v>22.2</v>
      </c>
      <c r="J15" s="105">
        <v>-6.7</v>
      </c>
      <c r="K15" s="26"/>
    </row>
    <row r="16" spans="1:14" ht="17.25" customHeight="1" x14ac:dyDescent="0.2">
      <c r="A16" s="104" t="s">
        <v>27</v>
      </c>
      <c r="B16" s="105">
        <v>204.70000000000002</v>
      </c>
      <c r="C16" s="105">
        <v>195.1</v>
      </c>
      <c r="D16" s="105">
        <v>-4.7</v>
      </c>
      <c r="E16" s="106">
        <v>261.84367366878359</v>
      </c>
      <c r="F16" s="106">
        <v>365.65043567401329</v>
      </c>
      <c r="G16" s="105">
        <v>39.6</v>
      </c>
      <c r="H16" s="105">
        <v>53.6</v>
      </c>
      <c r="I16" s="105">
        <v>71.3</v>
      </c>
      <c r="J16" s="105">
        <v>33</v>
      </c>
      <c r="K16" s="26"/>
    </row>
    <row r="17" spans="1:12" ht="17.25" customHeight="1" x14ac:dyDescent="0.2">
      <c r="A17" s="107" t="s">
        <v>31</v>
      </c>
      <c r="B17" s="105">
        <v>193.3</v>
      </c>
      <c r="C17" s="105">
        <v>182.1</v>
      </c>
      <c r="D17" s="105">
        <v>-5.8</v>
      </c>
      <c r="E17" s="106">
        <v>212.00000000000003</v>
      </c>
      <c r="F17" s="106">
        <v>334</v>
      </c>
      <c r="G17" s="105">
        <v>57.5</v>
      </c>
      <c r="H17" s="105">
        <v>41</v>
      </c>
      <c r="I17" s="105">
        <v>60.8</v>
      </c>
      <c r="J17" s="105">
        <v>48.3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193.3</v>
      </c>
      <c r="C20" s="105">
        <v>182.1</v>
      </c>
      <c r="D20" s="105">
        <v>-5.8</v>
      </c>
      <c r="E20" s="106">
        <v>212</v>
      </c>
      <c r="F20" s="106">
        <v>334</v>
      </c>
      <c r="G20" s="105">
        <v>57.5</v>
      </c>
      <c r="H20" s="105">
        <v>41</v>
      </c>
      <c r="I20" s="105">
        <v>60.8</v>
      </c>
      <c r="J20" s="105">
        <v>48.3</v>
      </c>
      <c r="K20" s="51"/>
      <c r="L20" s="2"/>
    </row>
    <row r="21" spans="1:12" ht="17.25" customHeight="1" x14ac:dyDescent="0.2">
      <c r="A21" s="107" t="s">
        <v>35</v>
      </c>
      <c r="B21" s="105">
        <v>11.4</v>
      </c>
      <c r="C21" s="105">
        <v>13</v>
      </c>
      <c r="D21" s="105">
        <v>14</v>
      </c>
      <c r="E21" s="106">
        <v>1107</v>
      </c>
      <c r="F21" s="106">
        <v>809</v>
      </c>
      <c r="G21" s="105">
        <v>-26.9</v>
      </c>
      <c r="H21" s="105">
        <v>12.6</v>
      </c>
      <c r="I21" s="105">
        <v>10.5</v>
      </c>
      <c r="J21" s="105">
        <v>-16.7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11.4</v>
      </c>
      <c r="C24" s="105">
        <v>13</v>
      </c>
      <c r="D24" s="105">
        <v>14</v>
      </c>
      <c r="E24" s="106">
        <v>1107</v>
      </c>
      <c r="F24" s="106">
        <v>809</v>
      </c>
      <c r="G24" s="105">
        <v>-26.9</v>
      </c>
      <c r="H24" s="105">
        <v>12.6</v>
      </c>
      <c r="I24" s="105">
        <v>10.5</v>
      </c>
      <c r="J24" s="105">
        <v>-16.7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468.90000000000003</v>
      </c>
      <c r="C32" s="105">
        <v>485.3</v>
      </c>
      <c r="D32" s="105">
        <v>3.5</v>
      </c>
      <c r="E32" s="106">
        <v>4095.9443378119004</v>
      </c>
      <c r="F32" s="106">
        <v>5129.6727797238827</v>
      </c>
      <c r="G32" s="105">
        <v>25.2</v>
      </c>
      <c r="H32" s="105">
        <v>1920.6</v>
      </c>
      <c r="I32" s="105">
        <v>2489.4</v>
      </c>
      <c r="J32" s="105">
        <v>29.6</v>
      </c>
      <c r="K32" s="26"/>
    </row>
    <row r="33" spans="1:14" ht="17.25" customHeight="1" x14ac:dyDescent="0.2">
      <c r="A33" s="107" t="s">
        <v>41</v>
      </c>
      <c r="B33" s="105">
        <v>365.1</v>
      </c>
      <c r="C33" s="105">
        <v>385.5</v>
      </c>
      <c r="D33" s="105">
        <v>5.6</v>
      </c>
      <c r="E33" s="106">
        <v>3649</v>
      </c>
      <c r="F33" s="106">
        <v>5280</v>
      </c>
      <c r="G33" s="105">
        <v>44.7</v>
      </c>
      <c r="H33" s="105">
        <v>1332.2</v>
      </c>
      <c r="I33" s="105">
        <v>2035.4</v>
      </c>
      <c r="J33" s="105">
        <v>52.8</v>
      </c>
      <c r="K33" s="26"/>
    </row>
    <row r="34" spans="1:14" ht="17.25" customHeight="1" x14ac:dyDescent="0.2">
      <c r="A34" s="107" t="s">
        <v>42</v>
      </c>
      <c r="B34" s="105">
        <v>103.8</v>
      </c>
      <c r="C34" s="105">
        <v>99.8</v>
      </c>
      <c r="D34" s="105">
        <v>-3.9</v>
      </c>
      <c r="E34" s="106">
        <v>5668</v>
      </c>
      <c r="F34" s="106">
        <v>4549</v>
      </c>
      <c r="G34" s="105">
        <v>-19.7</v>
      </c>
      <c r="H34" s="105">
        <v>588.29999999999995</v>
      </c>
      <c r="I34" s="105">
        <v>454</v>
      </c>
      <c r="J34" s="105">
        <v>-22.8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1097.9000000000001</v>
      </c>
      <c r="C36" s="105">
        <v>1108.9000000000001</v>
      </c>
      <c r="D36" s="105">
        <v>1</v>
      </c>
      <c r="E36" s="106">
        <v>3441</v>
      </c>
      <c r="F36" s="106">
        <v>3966</v>
      </c>
      <c r="G36" s="105">
        <v>15.3</v>
      </c>
      <c r="H36" s="105">
        <v>3777.9</v>
      </c>
      <c r="I36" s="105">
        <v>4397.8999999999996</v>
      </c>
      <c r="J36" s="105">
        <v>16.399999999999999</v>
      </c>
      <c r="K36" s="26"/>
    </row>
    <row r="37" spans="1:14" ht="17.25" customHeight="1" x14ac:dyDescent="0.2">
      <c r="A37" s="104" t="s">
        <v>45</v>
      </c>
      <c r="B37" s="105">
        <v>80.900000000000006</v>
      </c>
      <c r="C37" s="105">
        <v>114.5</v>
      </c>
      <c r="D37" s="105">
        <v>41.5</v>
      </c>
      <c r="E37" s="106">
        <v>3900</v>
      </c>
      <c r="F37" s="106">
        <v>2816</v>
      </c>
      <c r="G37" s="105">
        <v>-27.8</v>
      </c>
      <c r="H37" s="105">
        <v>315.5</v>
      </c>
      <c r="I37" s="105">
        <v>322.39999999999998</v>
      </c>
      <c r="J37" s="105">
        <v>2.2000000000000002</v>
      </c>
      <c r="K37" s="26"/>
    </row>
    <row r="38" spans="1:14" ht="17.25" customHeight="1" x14ac:dyDescent="0.2">
      <c r="A38" s="113" t="s">
        <v>46</v>
      </c>
      <c r="B38" s="114">
        <v>1942.6000000000004</v>
      </c>
      <c r="C38" s="114">
        <v>1998.7</v>
      </c>
      <c r="D38" s="114">
        <v>2.9</v>
      </c>
      <c r="E38" s="115">
        <v>3221</v>
      </c>
      <c r="F38" s="115">
        <v>3757</v>
      </c>
      <c r="G38" s="114">
        <v>16.600000000000001</v>
      </c>
      <c r="H38" s="114">
        <v>6258</v>
      </c>
      <c r="I38" s="114">
        <v>7509.2999999999993</v>
      </c>
      <c r="J38" s="116">
        <v>20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194</v>
      </c>
      <c r="B49" s="122">
        <v>1942.6000000000004</v>
      </c>
      <c r="C49" s="122">
        <v>1998.7</v>
      </c>
      <c r="D49" s="123">
        <v>2.9</v>
      </c>
      <c r="E49" s="124">
        <v>3221</v>
      </c>
      <c r="F49" s="124">
        <v>3757</v>
      </c>
      <c r="G49" s="123">
        <v>16.600000000000001</v>
      </c>
      <c r="H49" s="122">
        <v>6258</v>
      </c>
      <c r="I49" s="122">
        <v>7509.2999999999993</v>
      </c>
      <c r="J49" s="125">
        <v>20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1.6</v>
      </c>
      <c r="C8" s="105">
        <v>1.6</v>
      </c>
      <c r="D8" s="105">
        <v>0</v>
      </c>
      <c r="E8" s="106">
        <v>1770</v>
      </c>
      <c r="F8" s="106">
        <v>1946.9999999999998</v>
      </c>
      <c r="G8" s="105">
        <v>10</v>
      </c>
      <c r="H8" s="105">
        <v>2.8</v>
      </c>
      <c r="I8" s="105">
        <v>3.0999999999999996</v>
      </c>
      <c r="J8" s="105">
        <v>10.7</v>
      </c>
      <c r="K8" s="26"/>
    </row>
    <row r="9" spans="1:14" ht="17.25" customHeight="1" x14ac:dyDescent="0.2">
      <c r="A9" s="104" t="s">
        <v>111</v>
      </c>
      <c r="B9" s="105">
        <v>1.6</v>
      </c>
      <c r="C9" s="105">
        <v>1.6</v>
      </c>
      <c r="D9" s="105">
        <v>0</v>
      </c>
      <c r="E9" s="106">
        <v>1230</v>
      </c>
      <c r="F9" s="106">
        <v>1353</v>
      </c>
      <c r="G9" s="105">
        <v>10</v>
      </c>
      <c r="H9" s="105">
        <v>2</v>
      </c>
      <c r="I9" s="105">
        <v>2.2000000000000002</v>
      </c>
      <c r="J9" s="105">
        <v>10</v>
      </c>
      <c r="K9" s="26"/>
    </row>
    <row r="10" spans="1:14" ht="17.25" customHeight="1" x14ac:dyDescent="0.2">
      <c r="A10" s="104" t="s">
        <v>21</v>
      </c>
      <c r="B10" s="105">
        <v>2.1</v>
      </c>
      <c r="C10" s="105">
        <v>1.5</v>
      </c>
      <c r="D10" s="105">
        <v>-28.6</v>
      </c>
      <c r="E10" s="106">
        <v>2989</v>
      </c>
      <c r="F10" s="106">
        <v>2720</v>
      </c>
      <c r="G10" s="105">
        <v>-9</v>
      </c>
      <c r="H10" s="105">
        <v>6.3</v>
      </c>
      <c r="I10" s="105">
        <v>4.0999999999999996</v>
      </c>
      <c r="J10" s="105">
        <v>-34.9</v>
      </c>
      <c r="K10" s="26"/>
    </row>
    <row r="11" spans="1:14" ht="17.25" customHeight="1" x14ac:dyDescent="0.2">
      <c r="A11" s="107" t="s">
        <v>22</v>
      </c>
      <c r="B11" s="105">
        <v>2.1</v>
      </c>
      <c r="C11" s="105">
        <v>1.5</v>
      </c>
      <c r="D11" s="105">
        <v>-28.6</v>
      </c>
      <c r="E11" s="106">
        <v>2989</v>
      </c>
      <c r="F11" s="106">
        <v>2720</v>
      </c>
      <c r="G11" s="105">
        <v>-9</v>
      </c>
      <c r="H11" s="105">
        <v>6.3</v>
      </c>
      <c r="I11" s="105">
        <v>4.0999999999999996</v>
      </c>
      <c r="J11" s="105">
        <v>-34.9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19.700000000000003</v>
      </c>
      <c r="C13" s="105">
        <v>19.399999999999999</v>
      </c>
      <c r="D13" s="105">
        <v>-1.5</v>
      </c>
      <c r="E13" s="106">
        <v>6926.5431472081209</v>
      </c>
      <c r="F13" s="106">
        <v>7917.6701030927834</v>
      </c>
      <c r="G13" s="105">
        <v>14.3</v>
      </c>
      <c r="H13" s="105">
        <v>136.5</v>
      </c>
      <c r="I13" s="105">
        <v>153.69999999999999</v>
      </c>
      <c r="J13" s="105">
        <v>12.6</v>
      </c>
      <c r="K13" s="26"/>
    </row>
    <row r="14" spans="1:14" ht="17.25" customHeight="1" x14ac:dyDescent="0.2">
      <c r="A14" s="107" t="s">
        <v>25</v>
      </c>
      <c r="B14" s="105">
        <v>1.1000000000000001</v>
      </c>
      <c r="C14" s="105">
        <v>1</v>
      </c>
      <c r="D14" s="105">
        <v>-9.1</v>
      </c>
      <c r="E14" s="106">
        <v>2049</v>
      </c>
      <c r="F14" s="106">
        <v>1950</v>
      </c>
      <c r="G14" s="105">
        <v>-4.8</v>
      </c>
      <c r="H14" s="105">
        <v>2.2999999999999998</v>
      </c>
      <c r="I14" s="105">
        <v>2</v>
      </c>
      <c r="J14" s="105">
        <v>-13</v>
      </c>
      <c r="K14" s="26"/>
    </row>
    <row r="15" spans="1:14" ht="17.25" customHeight="1" x14ac:dyDescent="0.2">
      <c r="A15" s="107" t="s">
        <v>26</v>
      </c>
      <c r="B15" s="105">
        <v>18.600000000000001</v>
      </c>
      <c r="C15" s="105">
        <v>18.399999999999999</v>
      </c>
      <c r="D15" s="105">
        <v>-1.1000000000000001</v>
      </c>
      <c r="E15" s="106">
        <v>7215</v>
      </c>
      <c r="F15" s="106">
        <v>8242</v>
      </c>
      <c r="G15" s="105">
        <v>14.2</v>
      </c>
      <c r="H15" s="105">
        <v>134.19999999999999</v>
      </c>
      <c r="I15" s="105">
        <v>151.69999999999999</v>
      </c>
      <c r="J15" s="105">
        <v>13</v>
      </c>
      <c r="K15" s="26"/>
    </row>
    <row r="16" spans="1:14" ht="17.25" customHeight="1" x14ac:dyDescent="0.2">
      <c r="A16" s="104" t="s">
        <v>27</v>
      </c>
      <c r="B16" s="105">
        <v>491.7</v>
      </c>
      <c r="C16" s="105">
        <v>331.7</v>
      </c>
      <c r="D16" s="105">
        <v>-32.5</v>
      </c>
      <c r="E16" s="106">
        <v>1750.462273744153</v>
      </c>
      <c r="F16" s="106">
        <v>1555.8748869460355</v>
      </c>
      <c r="G16" s="105">
        <v>-11.1</v>
      </c>
      <c r="H16" s="105">
        <v>860.7</v>
      </c>
      <c r="I16" s="105">
        <v>516.1</v>
      </c>
      <c r="J16" s="105">
        <v>-40</v>
      </c>
      <c r="K16" s="26"/>
    </row>
    <row r="17" spans="1:12" ht="17.25" customHeight="1" x14ac:dyDescent="0.2">
      <c r="A17" s="107" t="s">
        <v>31</v>
      </c>
      <c r="B17" s="105">
        <v>163.30000000000001</v>
      </c>
      <c r="C17" s="105">
        <v>104</v>
      </c>
      <c r="D17" s="105">
        <v>-36.299999999999997</v>
      </c>
      <c r="E17" s="106">
        <v>2043</v>
      </c>
      <c r="F17" s="106">
        <v>1841.2365384615384</v>
      </c>
      <c r="G17" s="105">
        <v>-9.9</v>
      </c>
      <c r="H17" s="105">
        <v>333.6</v>
      </c>
      <c r="I17" s="105">
        <v>191.5</v>
      </c>
      <c r="J17" s="105">
        <v>-42.6</v>
      </c>
      <c r="K17" s="26"/>
    </row>
    <row r="18" spans="1:12" s="1" customFormat="1" ht="17.25" customHeight="1" x14ac:dyDescent="0.2">
      <c r="A18" s="111" t="s">
        <v>32</v>
      </c>
      <c r="B18" s="105">
        <v>45.8</v>
      </c>
      <c r="C18" s="105">
        <v>33.299999999999997</v>
      </c>
      <c r="D18" s="105">
        <v>-27.3</v>
      </c>
      <c r="E18" s="106">
        <v>2043</v>
      </c>
      <c r="F18" s="106">
        <v>1829</v>
      </c>
      <c r="G18" s="105">
        <v>-10.5</v>
      </c>
      <c r="H18" s="105">
        <v>93.6</v>
      </c>
      <c r="I18" s="105">
        <v>60.9</v>
      </c>
      <c r="J18" s="105">
        <v>-34.9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117.5</v>
      </c>
      <c r="C19" s="105">
        <v>70.7</v>
      </c>
      <c r="D19" s="105">
        <v>-39.799999999999997</v>
      </c>
      <c r="E19" s="106">
        <v>2043</v>
      </c>
      <c r="F19" s="106">
        <v>1847</v>
      </c>
      <c r="G19" s="105">
        <v>-9.6</v>
      </c>
      <c r="H19" s="105">
        <v>240.1</v>
      </c>
      <c r="I19" s="105">
        <v>130.6</v>
      </c>
      <c r="J19" s="105">
        <v>-45.6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327.9</v>
      </c>
      <c r="C21" s="105">
        <v>227.4</v>
      </c>
      <c r="D21" s="105">
        <v>-30.6</v>
      </c>
      <c r="E21" s="106">
        <v>1605.9512046355599</v>
      </c>
      <c r="F21" s="106">
        <v>1425.9349164467897</v>
      </c>
      <c r="G21" s="105">
        <v>-11.2</v>
      </c>
      <c r="H21" s="105">
        <v>526.6</v>
      </c>
      <c r="I21" s="105">
        <v>324.3</v>
      </c>
      <c r="J21" s="105">
        <v>-38.4</v>
      </c>
      <c r="K21" s="26"/>
    </row>
    <row r="22" spans="1:12" s="1" customFormat="1" ht="17.25" customHeight="1" x14ac:dyDescent="0.2">
      <c r="A22" s="111" t="s">
        <v>32</v>
      </c>
      <c r="B22" s="105">
        <v>91.6</v>
      </c>
      <c r="C22" s="105">
        <v>83</v>
      </c>
      <c r="D22" s="105">
        <v>-9.4</v>
      </c>
      <c r="E22" s="106">
        <v>1482</v>
      </c>
      <c r="F22" s="106">
        <v>1438</v>
      </c>
      <c r="G22" s="105">
        <v>-3</v>
      </c>
      <c r="H22" s="105">
        <v>135.80000000000001</v>
      </c>
      <c r="I22" s="105">
        <v>119.4</v>
      </c>
      <c r="J22" s="105">
        <v>-12.1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236.3</v>
      </c>
      <c r="C23" s="105">
        <v>144.4</v>
      </c>
      <c r="D23" s="105">
        <v>-38.9</v>
      </c>
      <c r="E23" s="106">
        <v>1654</v>
      </c>
      <c r="F23" s="106">
        <v>1419</v>
      </c>
      <c r="G23" s="105">
        <v>-14.2</v>
      </c>
      <c r="H23" s="105">
        <v>390.8</v>
      </c>
      <c r="I23" s="105">
        <v>204.9</v>
      </c>
      <c r="J23" s="105">
        <v>-47.6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0.5</v>
      </c>
      <c r="C25" s="105">
        <v>0.3</v>
      </c>
      <c r="D25" s="105">
        <v>-40</v>
      </c>
      <c r="E25" s="106">
        <v>978</v>
      </c>
      <c r="F25" s="106">
        <v>1125</v>
      </c>
      <c r="G25" s="105">
        <v>15</v>
      </c>
      <c r="H25" s="105">
        <v>0.5</v>
      </c>
      <c r="I25" s="105">
        <v>0.3</v>
      </c>
      <c r="J25" s="105">
        <v>-40</v>
      </c>
      <c r="K25" s="26"/>
    </row>
    <row r="26" spans="1:12" s="1" customFormat="1" ht="17.25" customHeight="1" x14ac:dyDescent="0.2">
      <c r="A26" s="111" t="s">
        <v>32</v>
      </c>
      <c r="B26" s="105">
        <v>0.5</v>
      </c>
      <c r="C26" s="105">
        <v>0.3</v>
      </c>
      <c r="D26" s="105">
        <v>-40</v>
      </c>
      <c r="E26" s="106">
        <v>978</v>
      </c>
      <c r="F26" s="106">
        <v>1125</v>
      </c>
      <c r="G26" s="105">
        <v>15</v>
      </c>
      <c r="H26" s="105">
        <v>0.5</v>
      </c>
      <c r="I26" s="105">
        <v>0.3</v>
      </c>
      <c r="J26" s="105">
        <v>-40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3059.7000000000003</v>
      </c>
      <c r="C32" s="105">
        <v>3287.3</v>
      </c>
      <c r="D32" s="105">
        <v>7.4</v>
      </c>
      <c r="E32" s="106">
        <v>6601.0639278360622</v>
      </c>
      <c r="F32" s="106">
        <v>6519.313266206309</v>
      </c>
      <c r="G32" s="105">
        <v>-1.2</v>
      </c>
      <c r="H32" s="105">
        <v>20197.3</v>
      </c>
      <c r="I32" s="105">
        <v>21430.9</v>
      </c>
      <c r="J32" s="105">
        <v>6.1</v>
      </c>
      <c r="K32" s="26"/>
    </row>
    <row r="33" spans="1:14" ht="17.25" customHeight="1" x14ac:dyDescent="0.2">
      <c r="A33" s="107" t="s">
        <v>41</v>
      </c>
      <c r="B33" s="105">
        <v>270.8</v>
      </c>
      <c r="C33" s="105">
        <v>364.5</v>
      </c>
      <c r="D33" s="105">
        <v>34.6</v>
      </c>
      <c r="E33" s="106">
        <v>10886</v>
      </c>
      <c r="F33" s="106">
        <v>11325</v>
      </c>
      <c r="G33" s="105">
        <v>4</v>
      </c>
      <c r="H33" s="105">
        <v>2947.9</v>
      </c>
      <c r="I33" s="105">
        <v>4128</v>
      </c>
      <c r="J33" s="105">
        <v>40</v>
      </c>
      <c r="K33" s="26"/>
    </row>
    <row r="34" spans="1:14" ht="17.25" customHeight="1" x14ac:dyDescent="0.2">
      <c r="A34" s="107" t="s">
        <v>42</v>
      </c>
      <c r="B34" s="105">
        <v>2788.9</v>
      </c>
      <c r="C34" s="105">
        <v>2922.8</v>
      </c>
      <c r="D34" s="105">
        <v>4.8</v>
      </c>
      <c r="E34" s="106">
        <v>6185</v>
      </c>
      <c r="F34" s="106">
        <v>5920</v>
      </c>
      <c r="G34" s="105">
        <v>-4.3</v>
      </c>
      <c r="H34" s="105">
        <v>17249.3</v>
      </c>
      <c r="I34" s="105">
        <v>17303</v>
      </c>
      <c r="J34" s="105">
        <v>0.3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5343.3</v>
      </c>
      <c r="C36" s="105">
        <v>5813.5</v>
      </c>
      <c r="D36" s="105">
        <v>8.8000000000000007</v>
      </c>
      <c r="E36" s="106">
        <v>3739</v>
      </c>
      <c r="F36" s="106">
        <v>3777</v>
      </c>
      <c r="G36" s="105">
        <v>1</v>
      </c>
      <c r="H36" s="105">
        <v>19978.599999999999</v>
      </c>
      <c r="I36" s="105">
        <v>21957.599999999999</v>
      </c>
      <c r="J36" s="105">
        <v>9.9</v>
      </c>
      <c r="K36" s="26"/>
    </row>
    <row r="37" spans="1:14" ht="17.25" customHeight="1" x14ac:dyDescent="0.2">
      <c r="A37" s="104" t="s">
        <v>45</v>
      </c>
      <c r="B37" s="105">
        <v>0.4</v>
      </c>
      <c r="C37" s="105">
        <v>0.1</v>
      </c>
      <c r="D37" s="105">
        <v>-75</v>
      </c>
      <c r="E37" s="106">
        <v>2850</v>
      </c>
      <c r="F37" s="106">
        <v>5000</v>
      </c>
      <c r="G37" s="105">
        <v>75.400000000000006</v>
      </c>
      <c r="H37" s="105">
        <v>1.1000000000000001</v>
      </c>
      <c r="I37" s="105">
        <v>0.5</v>
      </c>
      <c r="J37" s="105">
        <v>-54.5</v>
      </c>
      <c r="K37" s="26"/>
    </row>
    <row r="38" spans="1:14" ht="17.25" customHeight="1" x14ac:dyDescent="0.2">
      <c r="A38" s="113" t="s">
        <v>46</v>
      </c>
      <c r="B38" s="114">
        <v>8918.5</v>
      </c>
      <c r="C38" s="114">
        <v>9455.1</v>
      </c>
      <c r="D38" s="114">
        <v>6</v>
      </c>
      <c r="E38" s="115">
        <v>4618</v>
      </c>
      <c r="F38" s="115">
        <v>4661</v>
      </c>
      <c r="G38" s="114">
        <v>0.9</v>
      </c>
      <c r="H38" s="114">
        <v>41183.299999999996</v>
      </c>
      <c r="I38" s="114">
        <v>44066</v>
      </c>
      <c r="J38" s="116">
        <v>7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103.6</v>
      </c>
      <c r="C42" s="105">
        <v>102.8</v>
      </c>
      <c r="D42" s="105">
        <v>-0.8</v>
      </c>
      <c r="E42" s="106">
        <v>2345</v>
      </c>
      <c r="F42" s="106">
        <v>2259</v>
      </c>
      <c r="G42" s="105">
        <v>-3.7</v>
      </c>
      <c r="H42" s="105">
        <v>242.9</v>
      </c>
      <c r="I42" s="105">
        <v>232.2</v>
      </c>
      <c r="J42" s="105">
        <v>-4.4000000000000004</v>
      </c>
      <c r="K42" s="26"/>
    </row>
    <row r="43" spans="1:14" ht="17.25" customHeight="1" x14ac:dyDescent="0.2">
      <c r="A43" s="104" t="s">
        <v>49</v>
      </c>
      <c r="B43" s="105">
        <v>2</v>
      </c>
      <c r="C43" s="105">
        <v>4.4000000000000004</v>
      </c>
      <c r="D43" s="105">
        <v>120</v>
      </c>
      <c r="E43" s="106">
        <v>2291</v>
      </c>
      <c r="F43" s="106">
        <v>1724.41</v>
      </c>
      <c r="G43" s="105">
        <v>-24.7</v>
      </c>
      <c r="H43" s="105">
        <v>4.5999999999999996</v>
      </c>
      <c r="I43" s="105">
        <v>7.6</v>
      </c>
      <c r="J43" s="105">
        <v>65.2</v>
      </c>
      <c r="K43" s="26"/>
    </row>
    <row r="44" spans="1:14" ht="17.25" customHeight="1" x14ac:dyDescent="0.2">
      <c r="A44" s="104" t="s">
        <v>50</v>
      </c>
      <c r="B44" s="105">
        <v>2.1</v>
      </c>
      <c r="C44" s="105">
        <v>2.2999999999999998</v>
      </c>
      <c r="D44" s="105">
        <v>9.5</v>
      </c>
      <c r="E44" s="106">
        <v>2401</v>
      </c>
      <c r="F44" s="106">
        <v>2251</v>
      </c>
      <c r="G44" s="105">
        <v>-6.2</v>
      </c>
      <c r="H44" s="105">
        <v>5</v>
      </c>
      <c r="I44" s="105">
        <v>5.2</v>
      </c>
      <c r="J44" s="105">
        <v>4</v>
      </c>
      <c r="K44" s="26"/>
    </row>
    <row r="45" spans="1:14" ht="17.25" customHeight="1" x14ac:dyDescent="0.2">
      <c r="A45" s="104" t="s">
        <v>51</v>
      </c>
      <c r="B45" s="105">
        <v>103.7</v>
      </c>
      <c r="C45" s="105">
        <v>128.5</v>
      </c>
      <c r="D45" s="105">
        <v>23.9</v>
      </c>
      <c r="E45" s="106">
        <v>4661</v>
      </c>
      <c r="F45" s="106">
        <v>4218</v>
      </c>
      <c r="G45" s="105">
        <v>-9.5</v>
      </c>
      <c r="H45" s="105">
        <v>483.3</v>
      </c>
      <c r="I45" s="105">
        <v>542</v>
      </c>
      <c r="J45" s="105">
        <v>12.1</v>
      </c>
      <c r="K45" s="26"/>
    </row>
    <row r="46" spans="1:14" ht="17.25" customHeight="1" x14ac:dyDescent="0.2">
      <c r="A46" s="104" t="s">
        <v>52</v>
      </c>
      <c r="B46" s="105">
        <v>819</v>
      </c>
      <c r="C46" s="105">
        <v>727.3</v>
      </c>
      <c r="D46" s="105">
        <v>-11.2</v>
      </c>
      <c r="E46" s="106">
        <v>3383</v>
      </c>
      <c r="F46" s="106">
        <v>2967</v>
      </c>
      <c r="G46" s="105">
        <v>-12.3</v>
      </c>
      <c r="H46" s="105">
        <v>2770.7</v>
      </c>
      <c r="I46" s="105">
        <v>2157.9</v>
      </c>
      <c r="J46" s="105">
        <v>-22.1</v>
      </c>
      <c r="K46" s="26"/>
    </row>
    <row r="47" spans="1:14" ht="17.25" customHeight="1" x14ac:dyDescent="0.2">
      <c r="A47" s="104" t="s">
        <v>53</v>
      </c>
      <c r="B47" s="105">
        <v>6</v>
      </c>
      <c r="C47" s="105">
        <v>6.5</v>
      </c>
      <c r="D47" s="105">
        <v>8.3000000000000007</v>
      </c>
      <c r="E47" s="106">
        <v>3415</v>
      </c>
      <c r="F47" s="106">
        <v>3113</v>
      </c>
      <c r="G47" s="105">
        <v>-8.8000000000000007</v>
      </c>
      <c r="H47" s="105">
        <v>20.5</v>
      </c>
      <c r="I47" s="105">
        <v>20.2</v>
      </c>
      <c r="J47" s="105">
        <v>-1.5</v>
      </c>
      <c r="K47" s="26"/>
    </row>
    <row r="48" spans="1:14" ht="17.25" customHeight="1" x14ac:dyDescent="0.2">
      <c r="A48" s="117" t="s">
        <v>46</v>
      </c>
      <c r="B48" s="118">
        <v>1036.4000000000001</v>
      </c>
      <c r="C48" s="118">
        <v>971.8</v>
      </c>
      <c r="D48" s="118">
        <v>-6.2</v>
      </c>
      <c r="E48" s="119">
        <v>3403</v>
      </c>
      <c r="F48" s="119">
        <v>3051</v>
      </c>
      <c r="G48" s="118">
        <v>-10.3</v>
      </c>
      <c r="H48" s="118">
        <v>3527</v>
      </c>
      <c r="I48" s="118">
        <v>2965.1</v>
      </c>
      <c r="J48" s="120">
        <v>-15.9</v>
      </c>
      <c r="K48" s="26"/>
    </row>
    <row r="49" spans="1:17" ht="17.25" customHeight="1" x14ac:dyDescent="0.2">
      <c r="A49" s="121" t="s">
        <v>195</v>
      </c>
      <c r="B49" s="122">
        <v>9954.9</v>
      </c>
      <c r="C49" s="122">
        <v>10426.9</v>
      </c>
      <c r="D49" s="123">
        <v>4.7</v>
      </c>
      <c r="E49" s="124">
        <v>4491</v>
      </c>
      <c r="F49" s="124">
        <v>4511</v>
      </c>
      <c r="G49" s="123">
        <v>0.4</v>
      </c>
      <c r="H49" s="122">
        <v>44710.299999999996</v>
      </c>
      <c r="I49" s="122">
        <v>47031.1</v>
      </c>
      <c r="J49" s="125">
        <v>5.2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0.3</v>
      </c>
      <c r="C13" s="105">
        <v>0.3</v>
      </c>
      <c r="D13" s="105">
        <v>0</v>
      </c>
      <c r="E13" s="106">
        <v>2809</v>
      </c>
      <c r="F13" s="106">
        <v>2843</v>
      </c>
      <c r="G13" s="105">
        <v>1.2</v>
      </c>
      <c r="H13" s="105">
        <v>0.8</v>
      </c>
      <c r="I13" s="105">
        <v>0.9</v>
      </c>
      <c r="J13" s="105">
        <v>12.5</v>
      </c>
      <c r="K13" s="26"/>
    </row>
    <row r="14" spans="1:14" ht="17.25" customHeight="1" x14ac:dyDescent="0.2">
      <c r="A14" s="107" t="s">
        <v>25</v>
      </c>
      <c r="B14" s="105">
        <v>0.3</v>
      </c>
      <c r="C14" s="105">
        <v>0.3</v>
      </c>
      <c r="D14" s="105">
        <v>0</v>
      </c>
      <c r="E14" s="106">
        <v>2809</v>
      </c>
      <c r="F14" s="106">
        <v>2843</v>
      </c>
      <c r="G14" s="105">
        <v>1.2</v>
      </c>
      <c r="H14" s="105">
        <v>0.8</v>
      </c>
      <c r="I14" s="105">
        <v>0.9</v>
      </c>
      <c r="J14" s="105">
        <v>12.5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1</v>
      </c>
      <c r="C16" s="105">
        <v>0.7</v>
      </c>
      <c r="D16" s="105">
        <v>-30</v>
      </c>
      <c r="E16" s="106">
        <v>1354.3999999999999</v>
      </c>
      <c r="F16" s="106">
        <v>1106.0000000000002</v>
      </c>
      <c r="G16" s="105">
        <v>-18.3</v>
      </c>
      <c r="H16" s="105">
        <v>1.4</v>
      </c>
      <c r="I16" s="105">
        <v>0.8</v>
      </c>
      <c r="J16" s="105">
        <v>-42.9</v>
      </c>
      <c r="K16" s="26"/>
    </row>
    <row r="17" spans="1:12" ht="17.25" customHeight="1" x14ac:dyDescent="0.2">
      <c r="A17" s="107" t="s">
        <v>31</v>
      </c>
      <c r="B17" s="105">
        <v>0.3</v>
      </c>
      <c r="C17" s="105">
        <v>0.3</v>
      </c>
      <c r="D17" s="105">
        <v>0</v>
      </c>
      <c r="E17" s="106">
        <v>1010</v>
      </c>
      <c r="F17" s="106">
        <v>1010</v>
      </c>
      <c r="G17" s="105">
        <v>0</v>
      </c>
      <c r="H17" s="105">
        <v>0.3</v>
      </c>
      <c r="I17" s="105">
        <v>0.3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0.3</v>
      </c>
      <c r="C19" s="105">
        <v>0.3</v>
      </c>
      <c r="D19" s="105">
        <v>0</v>
      </c>
      <c r="E19" s="106">
        <v>1010</v>
      </c>
      <c r="F19" s="106">
        <v>1010</v>
      </c>
      <c r="G19" s="105">
        <v>0</v>
      </c>
      <c r="H19" s="105">
        <v>0.3</v>
      </c>
      <c r="I19" s="105">
        <v>0.3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0.7</v>
      </c>
      <c r="C21" s="105">
        <v>0.4</v>
      </c>
      <c r="D21" s="105">
        <v>-42.9</v>
      </c>
      <c r="E21" s="106">
        <v>1502</v>
      </c>
      <c r="F21" s="106">
        <v>1178</v>
      </c>
      <c r="G21" s="105">
        <v>-21.6</v>
      </c>
      <c r="H21" s="105">
        <v>1.1000000000000001</v>
      </c>
      <c r="I21" s="105">
        <v>0.5</v>
      </c>
      <c r="J21" s="105">
        <v>-54.5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0.7</v>
      </c>
      <c r="C23" s="105">
        <v>0.4</v>
      </c>
      <c r="D23" s="105">
        <v>-42.9</v>
      </c>
      <c r="E23" s="106">
        <v>1502</v>
      </c>
      <c r="F23" s="106">
        <v>1178</v>
      </c>
      <c r="G23" s="105">
        <v>-21.6</v>
      </c>
      <c r="H23" s="105">
        <v>1.1000000000000001</v>
      </c>
      <c r="I23" s="105">
        <v>0.5</v>
      </c>
      <c r="J23" s="105">
        <v>-54.5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1.5</v>
      </c>
      <c r="C32" s="105">
        <v>1.4</v>
      </c>
      <c r="D32" s="105">
        <v>-6.7</v>
      </c>
      <c r="E32" s="106">
        <v>4655</v>
      </c>
      <c r="F32" s="106">
        <v>4740</v>
      </c>
      <c r="G32" s="105">
        <v>1.8</v>
      </c>
      <c r="H32" s="105">
        <v>7</v>
      </c>
      <c r="I32" s="105">
        <v>6.6</v>
      </c>
      <c r="J32" s="105">
        <v>-5.7</v>
      </c>
      <c r="K32" s="26"/>
    </row>
    <row r="33" spans="1:16" ht="17.25" customHeight="1" x14ac:dyDescent="0.2">
      <c r="A33" s="107" t="s">
        <v>41</v>
      </c>
      <c r="B33" s="105">
        <v>1.5</v>
      </c>
      <c r="C33" s="105">
        <v>1.4</v>
      </c>
      <c r="D33" s="105">
        <v>-6.7</v>
      </c>
      <c r="E33" s="106">
        <v>4655</v>
      </c>
      <c r="F33" s="106">
        <v>4740</v>
      </c>
      <c r="G33" s="105">
        <v>1.8</v>
      </c>
      <c r="H33" s="105">
        <v>7</v>
      </c>
      <c r="I33" s="105">
        <v>6.6</v>
      </c>
      <c r="J33" s="105">
        <v>-5.7</v>
      </c>
      <c r="K33" s="26"/>
    </row>
    <row r="34" spans="1:16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6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6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6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6" ht="17.25" customHeight="1" x14ac:dyDescent="0.2">
      <c r="A38" s="113" t="s">
        <v>46</v>
      </c>
      <c r="B38" s="114">
        <v>2.8</v>
      </c>
      <c r="C38" s="114">
        <v>2.4</v>
      </c>
      <c r="D38" s="114">
        <v>-14.3</v>
      </c>
      <c r="E38" s="115">
        <v>3286</v>
      </c>
      <c r="F38" s="115">
        <v>3458</v>
      </c>
      <c r="G38" s="114">
        <v>5.2</v>
      </c>
      <c r="H38" s="114">
        <v>9.1999999999999993</v>
      </c>
      <c r="I38" s="114">
        <v>8.3000000000000007</v>
      </c>
      <c r="J38" s="116">
        <v>-9.8000000000000007</v>
      </c>
      <c r="K38" s="26"/>
    </row>
    <row r="39" spans="1:16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6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  <c r="P40" s="394"/>
    </row>
    <row r="41" spans="1:16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6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6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6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6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6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6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6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196</v>
      </c>
      <c r="B49" s="122">
        <v>2.8</v>
      </c>
      <c r="C49" s="122">
        <v>2.4</v>
      </c>
      <c r="D49" s="123">
        <v>-14.3</v>
      </c>
      <c r="E49" s="124">
        <v>3286</v>
      </c>
      <c r="F49" s="124">
        <v>3458</v>
      </c>
      <c r="G49" s="123">
        <v>5.2</v>
      </c>
      <c r="H49" s="122">
        <v>9.1999999999999993</v>
      </c>
      <c r="I49" s="122">
        <v>8.3000000000000007</v>
      </c>
      <c r="J49" s="125">
        <v>-9.8000000000000007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1.2</v>
      </c>
      <c r="C8" s="105">
        <v>1.2</v>
      </c>
      <c r="D8" s="105">
        <v>0</v>
      </c>
      <c r="E8" s="106">
        <v>1125.9199999999998</v>
      </c>
      <c r="F8" s="106">
        <v>952.93999999999983</v>
      </c>
      <c r="G8" s="105">
        <v>-15.4</v>
      </c>
      <c r="H8" s="105">
        <v>1.4000000000000001</v>
      </c>
      <c r="I8" s="105">
        <v>1.1000000000000001</v>
      </c>
      <c r="J8" s="105">
        <v>-21.4</v>
      </c>
      <c r="K8" s="26"/>
    </row>
    <row r="9" spans="1:14" ht="17.25" customHeight="1" x14ac:dyDescent="0.2">
      <c r="A9" s="104" t="s">
        <v>111</v>
      </c>
      <c r="B9" s="105">
        <v>1.2</v>
      </c>
      <c r="C9" s="105">
        <v>1.2</v>
      </c>
      <c r="D9" s="105">
        <v>0</v>
      </c>
      <c r="E9" s="106">
        <v>690.07999999999993</v>
      </c>
      <c r="F9" s="106">
        <v>584.05999999999995</v>
      </c>
      <c r="G9" s="105">
        <v>-15.4</v>
      </c>
      <c r="H9" s="105">
        <v>0.8</v>
      </c>
      <c r="I9" s="105">
        <v>0.7</v>
      </c>
      <c r="J9" s="105">
        <v>-12.5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0.4</v>
      </c>
      <c r="C13" s="105">
        <v>0.3</v>
      </c>
      <c r="D13" s="105">
        <v>-25</v>
      </c>
      <c r="E13" s="106">
        <v>2811</v>
      </c>
      <c r="F13" s="106">
        <v>2517</v>
      </c>
      <c r="G13" s="105">
        <v>-10.5</v>
      </c>
      <c r="H13" s="105">
        <v>1.1000000000000001</v>
      </c>
      <c r="I13" s="105">
        <v>0.8</v>
      </c>
      <c r="J13" s="105">
        <v>-27.3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0.4</v>
      </c>
      <c r="C15" s="105">
        <v>0.3</v>
      </c>
      <c r="D15" s="105">
        <v>-25</v>
      </c>
      <c r="E15" s="106">
        <v>2811</v>
      </c>
      <c r="F15" s="106">
        <v>2517</v>
      </c>
      <c r="G15" s="105">
        <v>-10.5</v>
      </c>
      <c r="H15" s="105">
        <v>1.1000000000000001</v>
      </c>
      <c r="I15" s="105">
        <v>0.8</v>
      </c>
      <c r="J15" s="105">
        <v>-27.3</v>
      </c>
      <c r="K15" s="26"/>
    </row>
    <row r="16" spans="1:14" ht="17.25" customHeight="1" x14ac:dyDescent="0.2">
      <c r="A16" s="104" t="s">
        <v>27</v>
      </c>
      <c r="B16" s="105">
        <v>46.8</v>
      </c>
      <c r="C16" s="105">
        <v>45.4</v>
      </c>
      <c r="D16" s="105">
        <v>-3</v>
      </c>
      <c r="E16" s="106">
        <v>165</v>
      </c>
      <c r="F16" s="106">
        <v>345</v>
      </c>
      <c r="G16" s="105">
        <v>109.1</v>
      </c>
      <c r="H16" s="105">
        <v>7.7</v>
      </c>
      <c r="I16" s="105">
        <v>15.7</v>
      </c>
      <c r="J16" s="105">
        <v>103.9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46.8</v>
      </c>
      <c r="C21" s="105">
        <v>45.4</v>
      </c>
      <c r="D21" s="105">
        <v>-3</v>
      </c>
      <c r="E21" s="106">
        <v>165</v>
      </c>
      <c r="F21" s="106">
        <v>345</v>
      </c>
      <c r="G21" s="105">
        <v>109.1</v>
      </c>
      <c r="H21" s="105">
        <v>7.7</v>
      </c>
      <c r="I21" s="105">
        <v>15.7</v>
      </c>
      <c r="J21" s="105">
        <v>103.9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46.8</v>
      </c>
      <c r="C24" s="105">
        <v>45.4</v>
      </c>
      <c r="D24" s="105">
        <v>-3</v>
      </c>
      <c r="E24" s="106">
        <v>165</v>
      </c>
      <c r="F24" s="106">
        <v>345</v>
      </c>
      <c r="G24" s="105">
        <v>109.1</v>
      </c>
      <c r="H24" s="105">
        <v>7.7</v>
      </c>
      <c r="I24" s="105">
        <v>15.7</v>
      </c>
      <c r="J24" s="105">
        <v>103.9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64.2</v>
      </c>
      <c r="C32" s="105">
        <v>61.7</v>
      </c>
      <c r="D32" s="105">
        <v>-3.9</v>
      </c>
      <c r="E32" s="106">
        <v>321</v>
      </c>
      <c r="F32" s="106">
        <v>516</v>
      </c>
      <c r="G32" s="105">
        <v>60.7</v>
      </c>
      <c r="H32" s="105">
        <v>20.6</v>
      </c>
      <c r="I32" s="105">
        <v>31.8</v>
      </c>
      <c r="J32" s="105">
        <v>54.4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64.2</v>
      </c>
      <c r="C34" s="105">
        <v>61.7</v>
      </c>
      <c r="D34" s="105">
        <v>-3.9</v>
      </c>
      <c r="E34" s="106">
        <v>321</v>
      </c>
      <c r="F34" s="106">
        <v>516</v>
      </c>
      <c r="G34" s="105">
        <v>60.7</v>
      </c>
      <c r="H34" s="105">
        <v>20.6</v>
      </c>
      <c r="I34" s="105">
        <v>31.8</v>
      </c>
      <c r="J34" s="105">
        <v>54.4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112.6</v>
      </c>
      <c r="C38" s="114">
        <v>108.6</v>
      </c>
      <c r="D38" s="114">
        <v>-3.6</v>
      </c>
      <c r="E38" s="115">
        <v>274</v>
      </c>
      <c r="F38" s="115">
        <v>455</v>
      </c>
      <c r="G38" s="114">
        <v>66.099999999999994</v>
      </c>
      <c r="H38" s="114">
        <v>30.8</v>
      </c>
      <c r="I38" s="114">
        <v>49.4</v>
      </c>
      <c r="J38" s="116">
        <v>60.4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197</v>
      </c>
      <c r="B49" s="122">
        <v>112.6</v>
      </c>
      <c r="C49" s="122">
        <v>108.6</v>
      </c>
      <c r="D49" s="123">
        <v>-3.6</v>
      </c>
      <c r="E49" s="124">
        <v>274</v>
      </c>
      <c r="F49" s="124">
        <v>455</v>
      </c>
      <c r="G49" s="123">
        <v>66.099999999999994</v>
      </c>
      <c r="H49" s="122">
        <v>30.8</v>
      </c>
      <c r="I49" s="122">
        <v>49.4</v>
      </c>
      <c r="J49" s="125">
        <v>60.4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8.8000000000000007</v>
      </c>
      <c r="C8" s="105">
        <v>6.6</v>
      </c>
      <c r="D8" s="105">
        <v>-25</v>
      </c>
      <c r="E8" s="106">
        <v>2790</v>
      </c>
      <c r="F8" s="106">
        <v>2790</v>
      </c>
      <c r="G8" s="105">
        <v>0</v>
      </c>
      <c r="H8" s="105">
        <v>24.6</v>
      </c>
      <c r="I8" s="105">
        <v>18.399999999999999</v>
      </c>
      <c r="J8" s="105">
        <v>-25.2</v>
      </c>
      <c r="K8" s="26"/>
    </row>
    <row r="9" spans="1:14" ht="17.25" customHeight="1" x14ac:dyDescent="0.2">
      <c r="A9" s="104" t="s">
        <v>111</v>
      </c>
      <c r="B9" s="105">
        <v>8.8000000000000007</v>
      </c>
      <c r="C9" s="105">
        <v>6.6</v>
      </c>
      <c r="D9" s="105">
        <v>-25</v>
      </c>
      <c r="E9" s="106">
        <v>1709.9999999999998</v>
      </c>
      <c r="F9" s="106">
        <v>1710</v>
      </c>
      <c r="G9" s="105">
        <v>0</v>
      </c>
      <c r="H9" s="105">
        <v>15</v>
      </c>
      <c r="I9" s="105">
        <v>11.3</v>
      </c>
      <c r="J9" s="105">
        <v>-24.7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44</v>
      </c>
      <c r="C13" s="105">
        <v>13.6</v>
      </c>
      <c r="D13" s="105">
        <v>-69.099999999999994</v>
      </c>
      <c r="E13" s="106">
        <v>3690</v>
      </c>
      <c r="F13" s="106">
        <v>3700</v>
      </c>
      <c r="G13" s="105">
        <v>0.3</v>
      </c>
      <c r="H13" s="105">
        <v>162.4</v>
      </c>
      <c r="I13" s="105">
        <v>50.3</v>
      </c>
      <c r="J13" s="105">
        <v>-69</v>
      </c>
      <c r="K13" s="26"/>
    </row>
    <row r="14" spans="1:14" ht="17.25" customHeight="1" x14ac:dyDescent="0.2">
      <c r="A14" s="107" t="s">
        <v>25</v>
      </c>
      <c r="B14" s="105">
        <v>44</v>
      </c>
      <c r="C14" s="105">
        <v>13.6</v>
      </c>
      <c r="D14" s="105">
        <v>-69.099999999999994</v>
      </c>
      <c r="E14" s="106">
        <v>3690</v>
      </c>
      <c r="F14" s="106">
        <v>3700</v>
      </c>
      <c r="G14" s="105">
        <v>0.3</v>
      </c>
      <c r="H14" s="105">
        <v>162.4</v>
      </c>
      <c r="I14" s="105">
        <v>50.3</v>
      </c>
      <c r="J14" s="105">
        <v>-69</v>
      </c>
      <c r="K14" s="26"/>
    </row>
    <row r="15" spans="1:14" ht="17.25" customHeight="1" x14ac:dyDescent="0.2">
      <c r="A15" s="107" t="s">
        <v>26</v>
      </c>
      <c r="B15" s="105">
        <v>0</v>
      </c>
      <c r="C15" s="105">
        <v>0</v>
      </c>
      <c r="D15" s="105">
        <v>0</v>
      </c>
      <c r="E15" s="106">
        <v>0</v>
      </c>
      <c r="F15" s="106">
        <v>0</v>
      </c>
      <c r="G15" s="105">
        <v>0</v>
      </c>
      <c r="H15" s="105">
        <v>0</v>
      </c>
      <c r="I15" s="105">
        <v>0</v>
      </c>
      <c r="J15" s="105">
        <v>0</v>
      </c>
      <c r="K15" s="26"/>
    </row>
    <row r="16" spans="1:14" ht="17.25" customHeight="1" x14ac:dyDescent="0.2">
      <c r="A16" s="104" t="s">
        <v>27</v>
      </c>
      <c r="B16" s="105">
        <v>2</v>
      </c>
      <c r="C16" s="105">
        <v>1.1000000000000001</v>
      </c>
      <c r="D16" s="105">
        <v>-45</v>
      </c>
      <c r="E16" s="106">
        <v>1060</v>
      </c>
      <c r="F16" s="106">
        <v>1042</v>
      </c>
      <c r="G16" s="105">
        <v>-1.7</v>
      </c>
      <c r="H16" s="105">
        <v>2.1</v>
      </c>
      <c r="I16" s="105">
        <v>1.1000000000000001</v>
      </c>
      <c r="J16" s="105">
        <v>-47.6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</v>
      </c>
      <c r="C21" s="105">
        <v>1.1000000000000001</v>
      </c>
      <c r="D21" s="105">
        <v>-45</v>
      </c>
      <c r="E21" s="106">
        <v>1060</v>
      </c>
      <c r="F21" s="106">
        <v>1042</v>
      </c>
      <c r="G21" s="105">
        <v>-1.7</v>
      </c>
      <c r="H21" s="105">
        <v>2.1</v>
      </c>
      <c r="I21" s="105">
        <v>1.1000000000000001</v>
      </c>
      <c r="J21" s="105">
        <v>-47.6</v>
      </c>
      <c r="K21" s="26"/>
    </row>
    <row r="22" spans="1:12" s="1" customFormat="1" ht="17.25" customHeight="1" x14ac:dyDescent="0.2">
      <c r="A22" s="111" t="s">
        <v>32</v>
      </c>
      <c r="B22" s="105">
        <v>2</v>
      </c>
      <c r="C22" s="105">
        <v>1.1000000000000001</v>
      </c>
      <c r="D22" s="105">
        <v>-45</v>
      </c>
      <c r="E22" s="106">
        <v>1060</v>
      </c>
      <c r="F22" s="106">
        <v>1042</v>
      </c>
      <c r="G22" s="105">
        <v>-1.7</v>
      </c>
      <c r="H22" s="105">
        <v>2.1</v>
      </c>
      <c r="I22" s="105">
        <v>1.1000000000000001</v>
      </c>
      <c r="J22" s="105">
        <v>-47.6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493.3</v>
      </c>
      <c r="C32" s="105">
        <v>467.7</v>
      </c>
      <c r="D32" s="105">
        <v>-5.2</v>
      </c>
      <c r="E32" s="106">
        <v>5273.4486113926614</v>
      </c>
      <c r="F32" s="106">
        <v>5151.4894162924957</v>
      </c>
      <c r="G32" s="105">
        <v>-2.2999999999999998</v>
      </c>
      <c r="H32" s="105">
        <v>2601.4</v>
      </c>
      <c r="I32" s="105">
        <v>2409.4</v>
      </c>
      <c r="J32" s="105">
        <v>-7.4</v>
      </c>
      <c r="K32" s="26"/>
    </row>
    <row r="33" spans="1:14" ht="17.25" customHeight="1" x14ac:dyDescent="0.2">
      <c r="A33" s="107" t="s">
        <v>41</v>
      </c>
      <c r="B33" s="105">
        <v>16.100000000000001</v>
      </c>
      <c r="C33" s="105">
        <v>8.1999999999999993</v>
      </c>
      <c r="D33" s="105">
        <v>-49.1</v>
      </c>
      <c r="E33" s="106">
        <v>3538</v>
      </c>
      <c r="F33" s="106">
        <v>3778</v>
      </c>
      <c r="G33" s="105">
        <v>6.8</v>
      </c>
      <c r="H33" s="105">
        <v>57</v>
      </c>
      <c r="I33" s="105">
        <v>31</v>
      </c>
      <c r="J33" s="105">
        <v>-45.6</v>
      </c>
      <c r="K33" s="26"/>
    </row>
    <row r="34" spans="1:14" ht="17.25" customHeight="1" x14ac:dyDescent="0.2">
      <c r="A34" s="107" t="s">
        <v>42</v>
      </c>
      <c r="B34" s="105">
        <v>477.2</v>
      </c>
      <c r="C34" s="105">
        <v>459.5</v>
      </c>
      <c r="D34" s="105">
        <v>-3.7</v>
      </c>
      <c r="E34" s="106">
        <v>5332</v>
      </c>
      <c r="F34" s="106">
        <v>5176</v>
      </c>
      <c r="G34" s="105">
        <v>-2.9</v>
      </c>
      <c r="H34" s="105">
        <v>2544.4</v>
      </c>
      <c r="I34" s="105">
        <v>2378.4</v>
      </c>
      <c r="J34" s="105">
        <v>-6.5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694.7</v>
      </c>
      <c r="C36" s="105">
        <v>720.4</v>
      </c>
      <c r="D36" s="105">
        <v>3.7</v>
      </c>
      <c r="E36" s="106">
        <v>3799</v>
      </c>
      <c r="F36" s="106">
        <v>3927</v>
      </c>
      <c r="G36" s="105">
        <v>3.4</v>
      </c>
      <c r="H36" s="105">
        <v>2639.2</v>
      </c>
      <c r="I36" s="105">
        <v>2829</v>
      </c>
      <c r="J36" s="105">
        <v>7.2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1242.8000000000002</v>
      </c>
      <c r="C38" s="114">
        <v>1209.4000000000001</v>
      </c>
      <c r="D38" s="114">
        <v>-2.7</v>
      </c>
      <c r="E38" s="115">
        <v>4369</v>
      </c>
      <c r="F38" s="115">
        <v>4389</v>
      </c>
      <c r="G38" s="114">
        <v>0.5</v>
      </c>
      <c r="H38" s="114">
        <v>5429.7</v>
      </c>
      <c r="I38" s="114">
        <v>5308.2000000000007</v>
      </c>
      <c r="J38" s="116">
        <v>-2.2000000000000002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198</v>
      </c>
      <c r="B49" s="122">
        <v>1242.8000000000002</v>
      </c>
      <c r="C49" s="122">
        <v>1209.4000000000001</v>
      </c>
      <c r="D49" s="123">
        <v>-2.7</v>
      </c>
      <c r="E49" s="124">
        <v>4369</v>
      </c>
      <c r="F49" s="124">
        <v>4389</v>
      </c>
      <c r="G49" s="123">
        <v>0.5</v>
      </c>
      <c r="H49" s="122">
        <v>5429.7</v>
      </c>
      <c r="I49" s="122">
        <v>5308.2000000000007</v>
      </c>
      <c r="J49" s="125">
        <v>-2.2000000000000002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13.3</v>
      </c>
      <c r="C13" s="105">
        <v>13.3</v>
      </c>
      <c r="D13" s="105">
        <v>0</v>
      </c>
      <c r="E13" s="106">
        <v>7530</v>
      </c>
      <c r="F13" s="106">
        <v>7444.0000000000009</v>
      </c>
      <c r="G13" s="105">
        <v>-1.1000000000000001</v>
      </c>
      <c r="H13" s="105">
        <v>100.1</v>
      </c>
      <c r="I13" s="105">
        <v>99</v>
      </c>
      <c r="J13" s="105">
        <v>-1.1000000000000001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13.3</v>
      </c>
      <c r="C15" s="105">
        <v>13.3</v>
      </c>
      <c r="D15" s="105">
        <v>0</v>
      </c>
      <c r="E15" s="106">
        <v>7530</v>
      </c>
      <c r="F15" s="106">
        <v>7444</v>
      </c>
      <c r="G15" s="105">
        <v>-1.1000000000000001</v>
      </c>
      <c r="H15" s="105">
        <v>100.1</v>
      </c>
      <c r="I15" s="105">
        <v>99</v>
      </c>
      <c r="J15" s="105">
        <v>-1.1000000000000001</v>
      </c>
      <c r="K15" s="26"/>
    </row>
    <row r="16" spans="1:14" ht="17.25" customHeight="1" x14ac:dyDescent="0.2">
      <c r="A16" s="104" t="s">
        <v>27</v>
      </c>
      <c r="B16" s="105">
        <v>2.7</v>
      </c>
      <c r="C16" s="105">
        <v>0.5</v>
      </c>
      <c r="D16" s="105">
        <v>-81.5</v>
      </c>
      <c r="E16" s="106">
        <v>1212</v>
      </c>
      <c r="F16" s="106">
        <v>1136</v>
      </c>
      <c r="G16" s="105">
        <v>-6.3</v>
      </c>
      <c r="H16" s="105">
        <v>3.3</v>
      </c>
      <c r="I16" s="105">
        <v>0.6</v>
      </c>
      <c r="J16" s="105">
        <v>-81.8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2.7</v>
      </c>
      <c r="C25" s="105">
        <v>0.5</v>
      </c>
      <c r="D25" s="105">
        <v>-81.5</v>
      </c>
      <c r="E25" s="106">
        <v>1212</v>
      </c>
      <c r="F25" s="106">
        <v>1136</v>
      </c>
      <c r="G25" s="105">
        <v>-6.3</v>
      </c>
      <c r="H25" s="105">
        <v>3.3</v>
      </c>
      <c r="I25" s="105">
        <v>0.6</v>
      </c>
      <c r="J25" s="105">
        <v>-81.8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2.7</v>
      </c>
      <c r="C28" s="105">
        <v>0.5</v>
      </c>
      <c r="D28" s="105">
        <v>-81.5</v>
      </c>
      <c r="E28" s="106">
        <v>1212</v>
      </c>
      <c r="F28" s="106">
        <v>1136</v>
      </c>
      <c r="G28" s="105">
        <v>-6.3</v>
      </c>
      <c r="H28" s="105">
        <v>3.3</v>
      </c>
      <c r="I28" s="105">
        <v>0.6</v>
      </c>
      <c r="J28" s="105">
        <v>-81.8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20</v>
      </c>
      <c r="C32" s="105">
        <v>16</v>
      </c>
      <c r="D32" s="105">
        <v>-20</v>
      </c>
      <c r="E32" s="106">
        <v>6000</v>
      </c>
      <c r="F32" s="106">
        <v>4500</v>
      </c>
      <c r="G32" s="105">
        <v>-25</v>
      </c>
      <c r="H32" s="105">
        <v>120</v>
      </c>
      <c r="I32" s="105">
        <v>72</v>
      </c>
      <c r="J32" s="105">
        <v>-40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20</v>
      </c>
      <c r="C35" s="105">
        <v>16</v>
      </c>
      <c r="D35" s="105">
        <v>-20</v>
      </c>
      <c r="E35" s="106">
        <v>6000</v>
      </c>
      <c r="F35" s="106">
        <v>4500</v>
      </c>
      <c r="G35" s="105">
        <v>-25</v>
      </c>
      <c r="H35" s="105">
        <v>120</v>
      </c>
      <c r="I35" s="105">
        <v>72</v>
      </c>
      <c r="J35" s="105">
        <v>-40</v>
      </c>
      <c r="K35" s="26"/>
    </row>
    <row r="36" spans="1:14" ht="17.25" customHeight="1" x14ac:dyDescent="0.2">
      <c r="A36" s="104" t="s">
        <v>44</v>
      </c>
      <c r="B36" s="105">
        <v>135.9</v>
      </c>
      <c r="C36" s="105">
        <v>150</v>
      </c>
      <c r="D36" s="105">
        <v>10.4</v>
      </c>
      <c r="E36" s="106">
        <v>3450</v>
      </c>
      <c r="F36" s="106">
        <v>2958</v>
      </c>
      <c r="G36" s="105">
        <v>-14.3</v>
      </c>
      <c r="H36" s="105">
        <v>468.9</v>
      </c>
      <c r="I36" s="105">
        <v>443.7</v>
      </c>
      <c r="J36" s="105">
        <v>-5.4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171.9</v>
      </c>
      <c r="C38" s="114">
        <v>179.8</v>
      </c>
      <c r="D38" s="114">
        <v>4.5999999999999996</v>
      </c>
      <c r="E38" s="115">
        <v>4027</v>
      </c>
      <c r="F38" s="115">
        <v>3422</v>
      </c>
      <c r="G38" s="114">
        <v>-15</v>
      </c>
      <c r="H38" s="114">
        <v>692.3</v>
      </c>
      <c r="I38" s="114">
        <v>615.29999999999995</v>
      </c>
      <c r="J38" s="116">
        <v>-11.1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199</v>
      </c>
      <c r="B49" s="122">
        <v>171.9</v>
      </c>
      <c r="C49" s="122">
        <v>179.8</v>
      </c>
      <c r="D49" s="123">
        <v>4.5999999999999996</v>
      </c>
      <c r="E49" s="124">
        <v>4027</v>
      </c>
      <c r="F49" s="124">
        <v>3422</v>
      </c>
      <c r="G49" s="123">
        <v>-15</v>
      </c>
      <c r="H49" s="122">
        <v>692.3</v>
      </c>
      <c r="I49" s="122">
        <v>615.29999999999995</v>
      </c>
      <c r="J49" s="125">
        <v>-11.1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968.1</v>
      </c>
      <c r="C13" s="105">
        <v>905.2</v>
      </c>
      <c r="D13" s="105">
        <v>-6.5</v>
      </c>
      <c r="E13" s="106">
        <v>9021</v>
      </c>
      <c r="F13" s="106">
        <v>8641</v>
      </c>
      <c r="G13" s="105">
        <v>-4.2</v>
      </c>
      <c r="H13" s="105">
        <v>8733.2000000000007</v>
      </c>
      <c r="I13" s="105">
        <v>7821.8</v>
      </c>
      <c r="J13" s="105">
        <v>-10.4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968.1</v>
      </c>
      <c r="C15" s="105">
        <v>905.2</v>
      </c>
      <c r="D15" s="105">
        <v>-6.5</v>
      </c>
      <c r="E15" s="106">
        <v>9021</v>
      </c>
      <c r="F15" s="106">
        <v>8641</v>
      </c>
      <c r="G15" s="105">
        <v>-4.2</v>
      </c>
      <c r="H15" s="105">
        <v>8733.2000000000007</v>
      </c>
      <c r="I15" s="105">
        <v>7821.8</v>
      </c>
      <c r="J15" s="105">
        <v>-10.4</v>
      </c>
      <c r="K15" s="26"/>
    </row>
    <row r="16" spans="1:14" ht="17.25" customHeight="1" x14ac:dyDescent="0.2">
      <c r="A16" s="104" t="s">
        <v>27</v>
      </c>
      <c r="B16" s="105">
        <v>42.4</v>
      </c>
      <c r="C16" s="105">
        <v>33.299999999999997</v>
      </c>
      <c r="D16" s="105">
        <v>-21.5</v>
      </c>
      <c r="E16" s="106">
        <v>1733.4080188679245</v>
      </c>
      <c r="F16" s="106">
        <v>1546.1801801801803</v>
      </c>
      <c r="G16" s="105">
        <v>-10.8</v>
      </c>
      <c r="H16" s="105">
        <v>73.5</v>
      </c>
      <c r="I16" s="105">
        <v>51.5</v>
      </c>
      <c r="J16" s="105">
        <v>-29.9</v>
      </c>
      <c r="K16" s="26"/>
    </row>
    <row r="17" spans="1:12" ht="17.25" customHeight="1" x14ac:dyDescent="0.2">
      <c r="A17" s="107" t="s">
        <v>31</v>
      </c>
      <c r="B17" s="105">
        <v>27.099999999999998</v>
      </c>
      <c r="C17" s="105">
        <v>23.5</v>
      </c>
      <c r="D17" s="105">
        <v>-13.3</v>
      </c>
      <c r="E17" s="106">
        <v>1873.0885608856088</v>
      </c>
      <c r="F17" s="106">
        <v>1589.2085106382976</v>
      </c>
      <c r="G17" s="105">
        <v>-15.2</v>
      </c>
      <c r="H17" s="105">
        <v>50.8</v>
      </c>
      <c r="I17" s="105">
        <v>37.299999999999997</v>
      </c>
      <c r="J17" s="105">
        <v>-26.6</v>
      </c>
      <c r="K17" s="26"/>
    </row>
    <row r="18" spans="1:12" s="1" customFormat="1" ht="17.25" customHeight="1" x14ac:dyDescent="0.2">
      <c r="A18" s="111" t="s">
        <v>32</v>
      </c>
      <c r="B18" s="105">
        <v>7.2</v>
      </c>
      <c r="C18" s="105">
        <v>6.3</v>
      </c>
      <c r="D18" s="105">
        <v>-12.5</v>
      </c>
      <c r="E18" s="106">
        <v>2404</v>
      </c>
      <c r="F18" s="106">
        <v>1800</v>
      </c>
      <c r="G18" s="105">
        <v>-25.1</v>
      </c>
      <c r="H18" s="105">
        <v>17.3</v>
      </c>
      <c r="I18" s="105">
        <v>11.3</v>
      </c>
      <c r="J18" s="105">
        <v>-34.700000000000003</v>
      </c>
      <c r="K18" s="51"/>
      <c r="L18" s="2"/>
    </row>
    <row r="19" spans="1:12" s="1" customFormat="1" ht="17.25" customHeight="1" x14ac:dyDescent="0.2">
      <c r="A19" s="111" t="s">
        <v>33</v>
      </c>
      <c r="B19" s="105">
        <v>19.899999999999999</v>
      </c>
      <c r="C19" s="105">
        <v>17.2</v>
      </c>
      <c r="D19" s="105">
        <v>-13.6</v>
      </c>
      <c r="E19" s="106">
        <v>1681</v>
      </c>
      <c r="F19" s="106">
        <v>1512</v>
      </c>
      <c r="G19" s="105">
        <v>-10.1</v>
      </c>
      <c r="H19" s="105">
        <v>33.5</v>
      </c>
      <c r="I19" s="105">
        <v>26</v>
      </c>
      <c r="J19" s="105">
        <v>-22.4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15.3</v>
      </c>
      <c r="C21" s="105">
        <v>9.8000000000000007</v>
      </c>
      <c r="D21" s="105">
        <v>-35.9</v>
      </c>
      <c r="E21" s="106">
        <v>1485.9999999999998</v>
      </c>
      <c r="F21" s="106">
        <v>1443</v>
      </c>
      <c r="G21" s="105">
        <v>-2.9</v>
      </c>
      <c r="H21" s="105">
        <v>22.7</v>
      </c>
      <c r="I21" s="105">
        <v>14.1</v>
      </c>
      <c r="J21" s="105">
        <v>-37.9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15.3</v>
      </c>
      <c r="C23" s="105">
        <v>9.8000000000000007</v>
      </c>
      <c r="D23" s="105">
        <v>-35.9</v>
      </c>
      <c r="E23" s="106">
        <v>1486</v>
      </c>
      <c r="F23" s="106">
        <v>1443</v>
      </c>
      <c r="G23" s="105">
        <v>-2.9</v>
      </c>
      <c r="H23" s="105">
        <v>22.7</v>
      </c>
      <c r="I23" s="105">
        <v>14.1</v>
      </c>
      <c r="J23" s="105">
        <v>-37.9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4.0999999999999996</v>
      </c>
      <c r="C30" s="105">
        <v>6</v>
      </c>
      <c r="D30" s="105">
        <v>46.3</v>
      </c>
      <c r="E30" s="106">
        <v>1800</v>
      </c>
      <c r="F30" s="106">
        <v>1986</v>
      </c>
      <c r="G30" s="105">
        <v>10.3</v>
      </c>
      <c r="H30" s="105">
        <v>7.4</v>
      </c>
      <c r="I30" s="105">
        <v>11.9</v>
      </c>
      <c r="J30" s="105">
        <v>60.8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715.5</v>
      </c>
      <c r="C32" s="105">
        <v>817.1</v>
      </c>
      <c r="D32" s="105">
        <v>14.2</v>
      </c>
      <c r="E32" s="106">
        <v>7590</v>
      </c>
      <c r="F32" s="106">
        <v>7357</v>
      </c>
      <c r="G32" s="105">
        <v>-3.1</v>
      </c>
      <c r="H32" s="105">
        <v>5430.6</v>
      </c>
      <c r="I32" s="105">
        <v>6011.4</v>
      </c>
      <c r="J32" s="105">
        <v>10.7</v>
      </c>
      <c r="K32" s="26"/>
    </row>
    <row r="33" spans="1:14" ht="17.25" customHeight="1" x14ac:dyDescent="0.2">
      <c r="A33" s="395" t="s">
        <v>41</v>
      </c>
      <c r="B33" s="109">
        <v>715.5</v>
      </c>
      <c r="C33" s="109">
        <v>817.1</v>
      </c>
      <c r="D33" s="109">
        <v>14.2</v>
      </c>
      <c r="E33" s="110">
        <v>7590</v>
      </c>
      <c r="F33" s="110">
        <v>7357</v>
      </c>
      <c r="G33" s="109">
        <v>-3.1</v>
      </c>
      <c r="H33" s="109">
        <v>5430.6</v>
      </c>
      <c r="I33" s="109">
        <v>6011.4</v>
      </c>
      <c r="J33" s="109">
        <v>10.7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9">
        <v>7098.7</v>
      </c>
      <c r="C36" s="109">
        <v>6729.6</v>
      </c>
      <c r="D36" s="109">
        <v>-5.2</v>
      </c>
      <c r="E36" s="110">
        <v>2342</v>
      </c>
      <c r="F36" s="110">
        <v>2769</v>
      </c>
      <c r="G36" s="109">
        <v>18.2</v>
      </c>
      <c r="H36" s="109">
        <v>16625.2</v>
      </c>
      <c r="I36" s="109">
        <v>18634.3</v>
      </c>
      <c r="J36" s="109">
        <v>12.1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6.5</v>
      </c>
      <c r="D37" s="105">
        <v>0</v>
      </c>
      <c r="E37" s="106">
        <v>0</v>
      </c>
      <c r="F37" s="106">
        <v>4672</v>
      </c>
      <c r="G37" s="105">
        <v>0</v>
      </c>
      <c r="H37" s="105">
        <v>0</v>
      </c>
      <c r="I37" s="105">
        <v>30.4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8828.7999999999993</v>
      </c>
      <c r="C38" s="114">
        <v>8497.7000000000007</v>
      </c>
      <c r="D38" s="114">
        <v>-3.8</v>
      </c>
      <c r="E38" s="115">
        <v>3497</v>
      </c>
      <c r="F38" s="115">
        <v>3832</v>
      </c>
      <c r="G38" s="114">
        <v>9.6</v>
      </c>
      <c r="H38" s="114">
        <v>30869.9</v>
      </c>
      <c r="I38" s="114">
        <v>32561.3</v>
      </c>
      <c r="J38" s="116">
        <v>5.5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401.8</v>
      </c>
      <c r="C42" s="105">
        <v>401.8</v>
      </c>
      <c r="D42" s="105">
        <v>0</v>
      </c>
      <c r="E42" s="106">
        <v>2452</v>
      </c>
      <c r="F42" s="106">
        <v>2336</v>
      </c>
      <c r="G42" s="105">
        <v>-4.7</v>
      </c>
      <c r="H42" s="105">
        <v>985.2</v>
      </c>
      <c r="I42" s="105">
        <v>938.6</v>
      </c>
      <c r="J42" s="105">
        <v>-4.7</v>
      </c>
      <c r="K42" s="26"/>
    </row>
    <row r="43" spans="1:14" ht="17.25" customHeight="1" x14ac:dyDescent="0.2">
      <c r="A43" s="104" t="s">
        <v>49</v>
      </c>
      <c r="B43" s="105">
        <v>209.9</v>
      </c>
      <c r="C43" s="105">
        <v>366.3</v>
      </c>
      <c r="D43" s="105">
        <v>74.5</v>
      </c>
      <c r="E43" s="106">
        <v>1621</v>
      </c>
      <c r="F43" s="106">
        <v>1619</v>
      </c>
      <c r="G43" s="105">
        <v>-0.1</v>
      </c>
      <c r="H43" s="105">
        <v>340.2</v>
      </c>
      <c r="I43" s="105">
        <v>593</v>
      </c>
      <c r="J43" s="105">
        <v>74.3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31.4</v>
      </c>
      <c r="C45" s="105">
        <v>20.3</v>
      </c>
      <c r="D45" s="105">
        <v>-35.4</v>
      </c>
      <c r="E45" s="106">
        <v>3509</v>
      </c>
      <c r="F45" s="106">
        <v>2947</v>
      </c>
      <c r="G45" s="105">
        <v>-16</v>
      </c>
      <c r="H45" s="105">
        <v>110.2</v>
      </c>
      <c r="I45" s="105">
        <v>59.8</v>
      </c>
      <c r="J45" s="105">
        <v>-45.7</v>
      </c>
      <c r="K45" s="26"/>
    </row>
    <row r="46" spans="1:14" ht="17.25" customHeight="1" x14ac:dyDescent="0.2">
      <c r="A46" s="104" t="s">
        <v>52</v>
      </c>
      <c r="B46" s="105">
        <v>1156.9000000000001</v>
      </c>
      <c r="C46" s="105">
        <v>774</v>
      </c>
      <c r="D46" s="105">
        <v>-33.1</v>
      </c>
      <c r="E46" s="106">
        <v>3097</v>
      </c>
      <c r="F46" s="106">
        <v>2924</v>
      </c>
      <c r="G46" s="105">
        <v>-5.6</v>
      </c>
      <c r="H46" s="105">
        <v>3582.9</v>
      </c>
      <c r="I46" s="105">
        <v>2263.1999999999998</v>
      </c>
      <c r="J46" s="105">
        <v>-36.799999999999997</v>
      </c>
      <c r="K46" s="26"/>
    </row>
    <row r="47" spans="1:14" ht="17.25" customHeight="1" x14ac:dyDescent="0.2">
      <c r="A47" s="104" t="s">
        <v>53</v>
      </c>
      <c r="B47" s="105">
        <v>3.6</v>
      </c>
      <c r="C47" s="105">
        <v>3.6</v>
      </c>
      <c r="D47" s="105">
        <v>0</v>
      </c>
      <c r="E47" s="106">
        <v>3076</v>
      </c>
      <c r="F47" s="106">
        <v>2764</v>
      </c>
      <c r="G47" s="105">
        <v>-10.1</v>
      </c>
      <c r="H47" s="105">
        <v>11.1</v>
      </c>
      <c r="I47" s="105">
        <v>10</v>
      </c>
      <c r="J47" s="105">
        <v>-9.9</v>
      </c>
      <c r="K47" s="26"/>
    </row>
    <row r="48" spans="1:14" ht="17.25" customHeight="1" x14ac:dyDescent="0.2">
      <c r="A48" s="117" t="s">
        <v>46</v>
      </c>
      <c r="B48" s="118">
        <v>1803.6</v>
      </c>
      <c r="C48" s="118">
        <v>1566</v>
      </c>
      <c r="D48" s="118">
        <v>-13.2</v>
      </c>
      <c r="E48" s="119">
        <v>2789</v>
      </c>
      <c r="F48" s="119">
        <v>2468</v>
      </c>
      <c r="G48" s="118">
        <v>-11.5</v>
      </c>
      <c r="H48" s="118">
        <v>5029.6000000000004</v>
      </c>
      <c r="I48" s="118">
        <v>3864.5999999999995</v>
      </c>
      <c r="J48" s="120">
        <v>-23.2</v>
      </c>
      <c r="K48" s="26"/>
    </row>
    <row r="49" spans="1:17" ht="17.25" customHeight="1" x14ac:dyDescent="0.2">
      <c r="A49" s="121" t="s">
        <v>200</v>
      </c>
      <c r="B49" s="122">
        <v>10632.4</v>
      </c>
      <c r="C49" s="122">
        <v>10063.700000000001</v>
      </c>
      <c r="D49" s="123">
        <v>-5.3</v>
      </c>
      <c r="E49" s="124">
        <v>3376</v>
      </c>
      <c r="F49" s="124">
        <v>3620</v>
      </c>
      <c r="G49" s="123">
        <v>7.2</v>
      </c>
      <c r="H49" s="122">
        <v>35899.5</v>
      </c>
      <c r="I49" s="122">
        <v>36425.9</v>
      </c>
      <c r="J49" s="125">
        <v>1.5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150</v>
      </c>
      <c r="C13" s="105">
        <v>148.5</v>
      </c>
      <c r="D13" s="105">
        <v>-1</v>
      </c>
      <c r="E13" s="106">
        <v>8500</v>
      </c>
      <c r="F13" s="106">
        <v>8300</v>
      </c>
      <c r="G13" s="105">
        <v>-2.4</v>
      </c>
      <c r="H13" s="105">
        <v>1275</v>
      </c>
      <c r="I13" s="105">
        <v>1232.5999999999999</v>
      </c>
      <c r="J13" s="105">
        <v>-3.3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150</v>
      </c>
      <c r="C15" s="105">
        <v>148.5</v>
      </c>
      <c r="D15" s="105">
        <v>-1</v>
      </c>
      <c r="E15" s="106">
        <v>8500</v>
      </c>
      <c r="F15" s="106">
        <v>8300</v>
      </c>
      <c r="G15" s="105">
        <v>-2.4</v>
      </c>
      <c r="H15" s="105">
        <v>1275</v>
      </c>
      <c r="I15" s="105">
        <v>1232.5999999999999</v>
      </c>
      <c r="J15" s="105">
        <v>-3.3</v>
      </c>
      <c r="K15" s="26"/>
    </row>
    <row r="16" spans="1:14" ht="17.25" customHeight="1" x14ac:dyDescent="0.2">
      <c r="A16" s="104" t="s">
        <v>27</v>
      </c>
      <c r="B16" s="105">
        <v>61</v>
      </c>
      <c r="C16" s="105">
        <v>51.2</v>
      </c>
      <c r="D16" s="105">
        <v>-16.100000000000001</v>
      </c>
      <c r="E16" s="106">
        <v>1854.7868852459017</v>
      </c>
      <c r="F16" s="106">
        <v>1850.78125</v>
      </c>
      <c r="G16" s="105">
        <v>-0.2</v>
      </c>
      <c r="H16" s="105">
        <v>113.1</v>
      </c>
      <c r="I16" s="105">
        <v>94.8</v>
      </c>
      <c r="J16" s="105">
        <v>-16.2</v>
      </c>
      <c r="K16" s="26"/>
    </row>
    <row r="17" spans="1:12" ht="17.25" customHeight="1" x14ac:dyDescent="0.2">
      <c r="A17" s="107" t="s">
        <v>31</v>
      </c>
      <c r="B17" s="105">
        <v>32.299999999999997</v>
      </c>
      <c r="C17" s="105">
        <v>27</v>
      </c>
      <c r="D17" s="105">
        <v>-16.399999999999999</v>
      </c>
      <c r="E17" s="106">
        <v>2074.3653250773996</v>
      </c>
      <c r="F17" s="106">
        <v>2000</v>
      </c>
      <c r="G17" s="105">
        <v>-3.6</v>
      </c>
      <c r="H17" s="105">
        <v>67</v>
      </c>
      <c r="I17" s="105">
        <v>54</v>
      </c>
      <c r="J17" s="105">
        <v>-19.399999999999999</v>
      </c>
      <c r="K17" s="26"/>
    </row>
    <row r="18" spans="1:12" s="1" customFormat="1" ht="17.25" customHeight="1" x14ac:dyDescent="0.2">
      <c r="A18" s="111" t="s">
        <v>32</v>
      </c>
      <c r="B18" s="105">
        <v>9.1</v>
      </c>
      <c r="C18" s="105">
        <v>7.2</v>
      </c>
      <c r="D18" s="105">
        <v>-20.9</v>
      </c>
      <c r="E18" s="106">
        <v>2060</v>
      </c>
      <c r="F18" s="106">
        <v>2000</v>
      </c>
      <c r="G18" s="105">
        <v>-2.9</v>
      </c>
      <c r="H18" s="105">
        <v>18.7</v>
      </c>
      <c r="I18" s="105">
        <v>14.4</v>
      </c>
      <c r="J18" s="105">
        <v>-23</v>
      </c>
      <c r="K18" s="51"/>
      <c r="L18" s="2"/>
    </row>
    <row r="19" spans="1:12" s="1" customFormat="1" ht="17.25" customHeight="1" x14ac:dyDescent="0.2">
      <c r="A19" s="111" t="s">
        <v>33</v>
      </c>
      <c r="B19" s="105">
        <v>23.2</v>
      </c>
      <c r="C19" s="105">
        <v>19.8</v>
      </c>
      <c r="D19" s="105">
        <v>-14.7</v>
      </c>
      <c r="E19" s="106">
        <v>2080</v>
      </c>
      <c r="F19" s="106">
        <v>2000</v>
      </c>
      <c r="G19" s="105">
        <v>-3.8</v>
      </c>
      <c r="H19" s="105">
        <v>48.3</v>
      </c>
      <c r="I19" s="105">
        <v>39.6</v>
      </c>
      <c r="J19" s="105">
        <v>-18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28.7</v>
      </c>
      <c r="C21" s="105">
        <v>24.2</v>
      </c>
      <c r="D21" s="105">
        <v>-15.7</v>
      </c>
      <c r="E21" s="106">
        <v>1607.6655052264809</v>
      </c>
      <c r="F21" s="106">
        <v>1684.297520661157</v>
      </c>
      <c r="G21" s="105">
        <v>4.8</v>
      </c>
      <c r="H21" s="105">
        <v>46.1</v>
      </c>
      <c r="I21" s="105">
        <v>40.799999999999997</v>
      </c>
      <c r="J21" s="105">
        <v>-11.5</v>
      </c>
      <c r="K21" s="26"/>
    </row>
    <row r="22" spans="1:12" s="1" customFormat="1" ht="17.25" customHeight="1" x14ac:dyDescent="0.2">
      <c r="A22" s="111" t="s">
        <v>32</v>
      </c>
      <c r="B22" s="105">
        <v>2.2000000000000002</v>
      </c>
      <c r="C22" s="105">
        <v>1.9</v>
      </c>
      <c r="D22" s="105">
        <v>-13.6</v>
      </c>
      <c r="E22" s="106">
        <v>1700</v>
      </c>
      <c r="F22" s="106">
        <v>1500</v>
      </c>
      <c r="G22" s="105">
        <v>-11.8</v>
      </c>
      <c r="H22" s="105">
        <v>3.7</v>
      </c>
      <c r="I22" s="105">
        <v>2.9</v>
      </c>
      <c r="J22" s="105">
        <v>-21.6</v>
      </c>
      <c r="K22" s="51"/>
      <c r="L22" s="2"/>
    </row>
    <row r="23" spans="1:12" s="1" customFormat="1" ht="17.25" customHeight="1" x14ac:dyDescent="0.2">
      <c r="A23" s="111" t="s">
        <v>33</v>
      </c>
      <c r="B23" s="105">
        <v>26.5</v>
      </c>
      <c r="C23" s="105">
        <v>22.3</v>
      </c>
      <c r="D23" s="105">
        <v>-15.8</v>
      </c>
      <c r="E23" s="106">
        <v>1600</v>
      </c>
      <c r="F23" s="106">
        <v>1700</v>
      </c>
      <c r="G23" s="105">
        <v>6.3</v>
      </c>
      <c r="H23" s="105">
        <v>42.4</v>
      </c>
      <c r="I23" s="105">
        <v>37.9</v>
      </c>
      <c r="J23" s="105">
        <v>-10.6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0</v>
      </c>
      <c r="C25" s="105">
        <v>0</v>
      </c>
      <c r="D25" s="105">
        <v>0</v>
      </c>
      <c r="E25" s="106">
        <v>0</v>
      </c>
      <c r="F25" s="106">
        <v>0</v>
      </c>
      <c r="G25" s="105">
        <v>0</v>
      </c>
      <c r="H25" s="105">
        <v>0</v>
      </c>
      <c r="I25" s="105">
        <v>0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0</v>
      </c>
      <c r="C26" s="105">
        <v>0</v>
      </c>
      <c r="D26" s="105">
        <v>0</v>
      </c>
      <c r="E26" s="106">
        <v>0</v>
      </c>
      <c r="F26" s="106">
        <v>0</v>
      </c>
      <c r="G26" s="105">
        <v>0</v>
      </c>
      <c r="H26" s="105">
        <v>0</v>
      </c>
      <c r="I26" s="105">
        <v>0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288.10000000000002</v>
      </c>
      <c r="C32" s="105">
        <v>310</v>
      </c>
      <c r="D32" s="105">
        <v>7.6</v>
      </c>
      <c r="E32" s="106">
        <v>10800</v>
      </c>
      <c r="F32" s="106">
        <v>10250</v>
      </c>
      <c r="G32" s="105">
        <v>-5.0999999999999996</v>
      </c>
      <c r="H32" s="105">
        <v>3111.5</v>
      </c>
      <c r="I32" s="105">
        <v>3177.5</v>
      </c>
      <c r="J32" s="105">
        <v>2.1</v>
      </c>
      <c r="K32" s="26"/>
    </row>
    <row r="33" spans="1:14" ht="17.25" customHeight="1" x14ac:dyDescent="0.2">
      <c r="A33" s="107" t="s">
        <v>41</v>
      </c>
      <c r="B33" s="105">
        <v>288.10000000000002</v>
      </c>
      <c r="C33" s="105">
        <v>310</v>
      </c>
      <c r="D33" s="105">
        <v>7.6</v>
      </c>
      <c r="E33" s="106">
        <v>10800</v>
      </c>
      <c r="F33" s="106">
        <v>10250</v>
      </c>
      <c r="G33" s="105">
        <v>-5.0999999999999996</v>
      </c>
      <c r="H33" s="105">
        <v>3111.5</v>
      </c>
      <c r="I33" s="105">
        <v>3177.5</v>
      </c>
      <c r="J33" s="105">
        <v>2.1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819.8</v>
      </c>
      <c r="C36" s="105">
        <v>820.6</v>
      </c>
      <c r="D36" s="105">
        <v>0.1</v>
      </c>
      <c r="E36" s="106">
        <v>3933</v>
      </c>
      <c r="F36" s="106">
        <v>3850</v>
      </c>
      <c r="G36" s="105">
        <v>-2.1</v>
      </c>
      <c r="H36" s="105">
        <v>3224.3</v>
      </c>
      <c r="I36" s="105">
        <v>3159.3</v>
      </c>
      <c r="J36" s="105">
        <v>-2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1318.9</v>
      </c>
      <c r="C38" s="114">
        <v>1330.3</v>
      </c>
      <c r="D38" s="114">
        <v>0.9</v>
      </c>
      <c r="E38" s="115">
        <v>5856</v>
      </c>
      <c r="F38" s="115">
        <v>5761</v>
      </c>
      <c r="G38" s="114">
        <v>-1.6</v>
      </c>
      <c r="H38" s="114">
        <v>7723.9000000000005</v>
      </c>
      <c r="I38" s="114">
        <v>7664.2</v>
      </c>
      <c r="J38" s="116">
        <v>-0.8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110.1</v>
      </c>
      <c r="C46" s="105">
        <v>78.5</v>
      </c>
      <c r="D46" s="105">
        <v>-28.7</v>
      </c>
      <c r="E46" s="106">
        <v>3700</v>
      </c>
      <c r="F46" s="106">
        <v>3406</v>
      </c>
      <c r="G46" s="105">
        <v>-7.9</v>
      </c>
      <c r="H46" s="105">
        <v>407.4</v>
      </c>
      <c r="I46" s="105">
        <v>267.39999999999998</v>
      </c>
      <c r="J46" s="105">
        <v>-34.4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110.1</v>
      </c>
      <c r="C48" s="118">
        <v>78.5</v>
      </c>
      <c r="D48" s="118">
        <v>-28.7</v>
      </c>
      <c r="E48" s="119">
        <v>3700</v>
      </c>
      <c r="F48" s="119">
        <v>3406</v>
      </c>
      <c r="G48" s="118">
        <v>-7.9</v>
      </c>
      <c r="H48" s="118">
        <v>407.4</v>
      </c>
      <c r="I48" s="118">
        <v>267.39999999999998</v>
      </c>
      <c r="J48" s="120">
        <v>-34.4</v>
      </c>
      <c r="K48" s="26"/>
    </row>
    <row r="49" spans="1:17" ht="17.25" customHeight="1" x14ac:dyDescent="0.2">
      <c r="A49" s="121" t="s">
        <v>201</v>
      </c>
      <c r="B49" s="122">
        <v>1429</v>
      </c>
      <c r="C49" s="122">
        <v>1408.8</v>
      </c>
      <c r="D49" s="123">
        <v>-1.4</v>
      </c>
      <c r="E49" s="124">
        <v>5690</v>
      </c>
      <c r="F49" s="124">
        <v>5630</v>
      </c>
      <c r="G49" s="123">
        <v>-1.1000000000000001</v>
      </c>
      <c r="H49" s="122">
        <v>8131.3</v>
      </c>
      <c r="I49" s="122">
        <v>7931.5999999999995</v>
      </c>
      <c r="J49" s="125">
        <v>-2.5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0</v>
      </c>
      <c r="C8" s="105">
        <v>0</v>
      </c>
      <c r="D8" s="105">
        <v>0</v>
      </c>
      <c r="E8" s="106">
        <v>0</v>
      </c>
      <c r="F8" s="106">
        <v>0</v>
      </c>
      <c r="G8" s="105">
        <v>0</v>
      </c>
      <c r="H8" s="105">
        <v>0</v>
      </c>
      <c r="I8" s="105">
        <v>0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0</v>
      </c>
      <c r="C9" s="105">
        <v>0</v>
      </c>
      <c r="D9" s="105">
        <v>0</v>
      </c>
      <c r="E9" s="106">
        <v>0</v>
      </c>
      <c r="F9" s="106">
        <v>0</v>
      </c>
      <c r="G9" s="105">
        <v>0</v>
      </c>
      <c r="H9" s="105">
        <v>0</v>
      </c>
      <c r="I9" s="105">
        <v>0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0</v>
      </c>
      <c r="C10" s="105">
        <v>0</v>
      </c>
      <c r="D10" s="105">
        <v>0</v>
      </c>
      <c r="E10" s="106">
        <v>0</v>
      </c>
      <c r="F10" s="106">
        <v>0</v>
      </c>
      <c r="G10" s="105">
        <v>0</v>
      </c>
      <c r="H10" s="105">
        <v>0</v>
      </c>
      <c r="I10" s="105">
        <v>0</v>
      </c>
      <c r="J10" s="105">
        <v>0</v>
      </c>
      <c r="K10" s="26"/>
    </row>
    <row r="11" spans="1:14" ht="17.25" customHeight="1" x14ac:dyDescent="0.2">
      <c r="A11" s="107" t="s">
        <v>22</v>
      </c>
      <c r="B11" s="105">
        <v>0</v>
      </c>
      <c r="C11" s="105">
        <v>0</v>
      </c>
      <c r="D11" s="105">
        <v>0</v>
      </c>
      <c r="E11" s="106">
        <v>0</v>
      </c>
      <c r="F11" s="106">
        <v>0</v>
      </c>
      <c r="G11" s="105">
        <v>0</v>
      </c>
      <c r="H11" s="105">
        <v>0</v>
      </c>
      <c r="I11" s="105">
        <v>0</v>
      </c>
      <c r="J11" s="105">
        <v>0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6.2</v>
      </c>
      <c r="C13" s="105">
        <v>5.4</v>
      </c>
      <c r="D13" s="105">
        <v>-12.9</v>
      </c>
      <c r="E13" s="106">
        <v>8227</v>
      </c>
      <c r="F13" s="106">
        <v>8320</v>
      </c>
      <c r="G13" s="105">
        <v>1.1000000000000001</v>
      </c>
      <c r="H13" s="105">
        <v>51</v>
      </c>
      <c r="I13" s="105">
        <v>44.9</v>
      </c>
      <c r="J13" s="105">
        <v>-12</v>
      </c>
      <c r="K13" s="26"/>
    </row>
    <row r="14" spans="1:14" ht="17.25" customHeight="1" x14ac:dyDescent="0.2">
      <c r="A14" s="107" t="s">
        <v>25</v>
      </c>
      <c r="B14" s="105">
        <v>0</v>
      </c>
      <c r="C14" s="105">
        <v>0</v>
      </c>
      <c r="D14" s="105">
        <v>0</v>
      </c>
      <c r="E14" s="106">
        <v>0</v>
      </c>
      <c r="F14" s="106">
        <v>0</v>
      </c>
      <c r="G14" s="105">
        <v>0</v>
      </c>
      <c r="H14" s="105">
        <v>0</v>
      </c>
      <c r="I14" s="105">
        <v>0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6.2</v>
      </c>
      <c r="C15" s="105">
        <v>5.4</v>
      </c>
      <c r="D15" s="105">
        <v>-12.9</v>
      </c>
      <c r="E15" s="106">
        <v>8227</v>
      </c>
      <c r="F15" s="106">
        <v>8320</v>
      </c>
      <c r="G15" s="105">
        <v>1.1000000000000001</v>
      </c>
      <c r="H15" s="105">
        <v>51</v>
      </c>
      <c r="I15" s="105">
        <v>44.9</v>
      </c>
      <c r="J15" s="105">
        <v>-12</v>
      </c>
      <c r="K15" s="26"/>
    </row>
    <row r="16" spans="1:14" ht="17.25" customHeight="1" x14ac:dyDescent="0.2">
      <c r="A16" s="104" t="s">
        <v>27</v>
      </c>
      <c r="B16" s="105">
        <v>2.4</v>
      </c>
      <c r="C16" s="105">
        <v>2.4</v>
      </c>
      <c r="D16" s="105">
        <v>0</v>
      </c>
      <c r="E16" s="106">
        <v>513</v>
      </c>
      <c r="F16" s="106">
        <v>513</v>
      </c>
      <c r="G16" s="105">
        <v>0</v>
      </c>
      <c r="H16" s="105">
        <v>1.2</v>
      </c>
      <c r="I16" s="105">
        <v>1.2</v>
      </c>
      <c r="J16" s="105">
        <v>0</v>
      </c>
      <c r="K16" s="26"/>
    </row>
    <row r="17" spans="1:12" ht="17.25" customHeight="1" x14ac:dyDescent="0.2">
      <c r="A17" s="107" t="s">
        <v>31</v>
      </c>
      <c r="B17" s="105">
        <v>0</v>
      </c>
      <c r="C17" s="105">
        <v>0</v>
      </c>
      <c r="D17" s="105">
        <v>0</v>
      </c>
      <c r="E17" s="106">
        <v>0</v>
      </c>
      <c r="F17" s="106">
        <v>0</v>
      </c>
      <c r="G17" s="105">
        <v>0</v>
      </c>
      <c r="H17" s="105">
        <v>0</v>
      </c>
      <c r="I17" s="105">
        <v>0</v>
      </c>
      <c r="J17" s="105">
        <v>0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0</v>
      </c>
      <c r="C21" s="105">
        <v>0</v>
      </c>
      <c r="D21" s="105">
        <v>0</v>
      </c>
      <c r="E21" s="106">
        <v>0</v>
      </c>
      <c r="F21" s="106">
        <v>0</v>
      </c>
      <c r="G21" s="105">
        <v>0</v>
      </c>
      <c r="H21" s="105">
        <v>0</v>
      </c>
      <c r="I21" s="105">
        <v>0</v>
      </c>
      <c r="J21" s="105">
        <v>0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2.4</v>
      </c>
      <c r="C25" s="105">
        <v>2.4</v>
      </c>
      <c r="D25" s="105">
        <v>0</v>
      </c>
      <c r="E25" s="106">
        <v>513</v>
      </c>
      <c r="F25" s="106">
        <v>513</v>
      </c>
      <c r="G25" s="105">
        <v>0</v>
      </c>
      <c r="H25" s="105">
        <v>1.2</v>
      </c>
      <c r="I25" s="105">
        <v>1.2</v>
      </c>
      <c r="J25" s="105">
        <v>0</v>
      </c>
      <c r="K25" s="26"/>
    </row>
    <row r="26" spans="1:12" s="1" customFormat="1" ht="17.25" customHeight="1" x14ac:dyDescent="0.2">
      <c r="A26" s="111" t="s">
        <v>32</v>
      </c>
      <c r="B26" s="105">
        <v>2.4</v>
      </c>
      <c r="C26" s="105">
        <v>2.4</v>
      </c>
      <c r="D26" s="105">
        <v>0</v>
      </c>
      <c r="E26" s="106">
        <v>513</v>
      </c>
      <c r="F26" s="106">
        <v>513</v>
      </c>
      <c r="G26" s="105">
        <v>0</v>
      </c>
      <c r="H26" s="105">
        <v>1.2</v>
      </c>
      <c r="I26" s="105">
        <v>1.2</v>
      </c>
      <c r="J26" s="105">
        <v>0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186.1</v>
      </c>
      <c r="C32" s="105">
        <v>186.1</v>
      </c>
      <c r="D32" s="105">
        <v>0</v>
      </c>
      <c r="E32" s="106">
        <v>6769</v>
      </c>
      <c r="F32" s="106">
        <v>4399</v>
      </c>
      <c r="G32" s="105">
        <v>-35</v>
      </c>
      <c r="H32" s="105">
        <v>1259.7</v>
      </c>
      <c r="I32" s="105">
        <v>818.7</v>
      </c>
      <c r="J32" s="105">
        <v>-35</v>
      </c>
      <c r="K32" s="26"/>
    </row>
    <row r="33" spans="1:14" ht="17.25" customHeight="1" x14ac:dyDescent="0.2">
      <c r="A33" s="107" t="s">
        <v>41</v>
      </c>
      <c r="B33" s="105">
        <v>0</v>
      </c>
      <c r="C33" s="105">
        <v>0</v>
      </c>
      <c r="D33" s="105">
        <v>0</v>
      </c>
      <c r="E33" s="106">
        <v>0</v>
      </c>
      <c r="F33" s="106">
        <v>0</v>
      </c>
      <c r="G33" s="105">
        <v>0</v>
      </c>
      <c r="H33" s="105">
        <v>0</v>
      </c>
      <c r="I33" s="105">
        <v>0</v>
      </c>
      <c r="J33" s="105">
        <v>0</v>
      </c>
      <c r="K33" s="26"/>
    </row>
    <row r="34" spans="1:14" ht="17.25" customHeight="1" x14ac:dyDescent="0.2">
      <c r="A34" s="107" t="s">
        <v>42</v>
      </c>
      <c r="B34" s="105">
        <v>0</v>
      </c>
      <c r="C34" s="105">
        <v>0</v>
      </c>
      <c r="D34" s="105">
        <v>0</v>
      </c>
      <c r="E34" s="106">
        <v>0</v>
      </c>
      <c r="F34" s="106">
        <v>0</v>
      </c>
      <c r="G34" s="105">
        <v>0</v>
      </c>
      <c r="H34" s="105">
        <v>0</v>
      </c>
      <c r="I34" s="105">
        <v>0</v>
      </c>
      <c r="J34" s="105">
        <v>0</v>
      </c>
      <c r="K34" s="26"/>
    </row>
    <row r="35" spans="1:14" ht="17.25" customHeight="1" x14ac:dyDescent="0.2">
      <c r="A35" s="107" t="s">
        <v>43</v>
      </c>
      <c r="B35" s="105">
        <v>186.1</v>
      </c>
      <c r="C35" s="105">
        <v>186.1</v>
      </c>
      <c r="D35" s="105">
        <v>0</v>
      </c>
      <c r="E35" s="106">
        <v>6769</v>
      </c>
      <c r="F35" s="106">
        <v>4399</v>
      </c>
      <c r="G35" s="105">
        <v>-35</v>
      </c>
      <c r="H35" s="105">
        <v>1259.7</v>
      </c>
      <c r="I35" s="105">
        <v>818.7</v>
      </c>
      <c r="J35" s="105">
        <v>-35</v>
      </c>
      <c r="K35" s="26"/>
    </row>
    <row r="36" spans="1:14" ht="17.25" customHeight="1" x14ac:dyDescent="0.2">
      <c r="A36" s="104" t="s">
        <v>44</v>
      </c>
      <c r="B36" s="105">
        <v>0</v>
      </c>
      <c r="C36" s="105">
        <v>0</v>
      </c>
      <c r="D36" s="105">
        <v>0</v>
      </c>
      <c r="E36" s="106">
        <v>0</v>
      </c>
      <c r="F36" s="106">
        <v>0</v>
      </c>
      <c r="G36" s="105">
        <v>0</v>
      </c>
      <c r="H36" s="105">
        <v>0</v>
      </c>
      <c r="I36" s="105">
        <v>0</v>
      </c>
      <c r="J36" s="105">
        <v>0</v>
      </c>
      <c r="K36" s="26"/>
    </row>
    <row r="37" spans="1:14" ht="17.25" customHeight="1" x14ac:dyDescent="0.2">
      <c r="A37" s="104" t="s">
        <v>45</v>
      </c>
      <c r="B37" s="105">
        <v>0</v>
      </c>
      <c r="C37" s="105">
        <v>0</v>
      </c>
      <c r="D37" s="105">
        <v>0</v>
      </c>
      <c r="E37" s="106">
        <v>0</v>
      </c>
      <c r="F37" s="106">
        <v>0</v>
      </c>
      <c r="G37" s="105">
        <v>0</v>
      </c>
      <c r="H37" s="105">
        <v>0</v>
      </c>
      <c r="I37" s="105">
        <v>0</v>
      </c>
      <c r="J37" s="105">
        <v>0</v>
      </c>
      <c r="K37" s="26"/>
    </row>
    <row r="38" spans="1:14" ht="17.25" customHeight="1" x14ac:dyDescent="0.2">
      <c r="A38" s="113" t="s">
        <v>46</v>
      </c>
      <c r="B38" s="114">
        <v>194.7</v>
      </c>
      <c r="C38" s="114">
        <v>193.9</v>
      </c>
      <c r="D38" s="114">
        <v>-0.4</v>
      </c>
      <c r="E38" s="115">
        <v>6738</v>
      </c>
      <c r="F38" s="115">
        <v>4460</v>
      </c>
      <c r="G38" s="114">
        <v>-33.799999999999997</v>
      </c>
      <c r="H38" s="114">
        <v>1311.9</v>
      </c>
      <c r="I38" s="114">
        <v>864.80000000000007</v>
      </c>
      <c r="J38" s="116">
        <v>-34.1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202</v>
      </c>
      <c r="B49" s="122">
        <v>194.7</v>
      </c>
      <c r="C49" s="122">
        <v>193.9</v>
      </c>
      <c r="D49" s="123">
        <v>-0.4</v>
      </c>
      <c r="E49" s="124">
        <v>6738</v>
      </c>
      <c r="F49" s="124">
        <v>4460</v>
      </c>
      <c r="G49" s="123">
        <v>-33.799999999999997</v>
      </c>
      <c r="H49" s="122">
        <v>1311.9</v>
      </c>
      <c r="I49" s="122">
        <v>864.80000000000007</v>
      </c>
      <c r="J49" s="125">
        <v>-34.1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8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7.5</v>
      </c>
      <c r="C8" s="105">
        <v>7.5</v>
      </c>
      <c r="D8" s="105">
        <v>0</v>
      </c>
      <c r="E8" s="106">
        <v>2192.94</v>
      </c>
      <c r="F8" s="106">
        <v>2194.614</v>
      </c>
      <c r="G8" s="105">
        <v>0.1</v>
      </c>
      <c r="H8" s="105">
        <v>16.5</v>
      </c>
      <c r="I8" s="105">
        <v>16.5</v>
      </c>
      <c r="J8" s="105">
        <v>0</v>
      </c>
      <c r="K8" s="26"/>
    </row>
    <row r="9" spans="1:14" ht="17.25" customHeight="1" x14ac:dyDescent="0.2">
      <c r="A9" s="104" t="s">
        <v>111</v>
      </c>
      <c r="B9" s="105">
        <v>7.5</v>
      </c>
      <c r="C9" s="105">
        <v>7.5</v>
      </c>
      <c r="D9" s="105">
        <v>0</v>
      </c>
      <c r="E9" s="106">
        <v>1737.0600000000002</v>
      </c>
      <c r="F9" s="106">
        <v>1738.386</v>
      </c>
      <c r="G9" s="105">
        <v>0.1</v>
      </c>
      <c r="H9" s="105">
        <v>13</v>
      </c>
      <c r="I9" s="105">
        <v>13</v>
      </c>
      <c r="J9" s="105">
        <v>0</v>
      </c>
      <c r="K9" s="26"/>
    </row>
    <row r="10" spans="1:14" ht="17.25" customHeight="1" x14ac:dyDescent="0.2">
      <c r="A10" s="104" t="s">
        <v>21</v>
      </c>
      <c r="B10" s="105">
        <v>215.5</v>
      </c>
      <c r="C10" s="105">
        <v>213.4</v>
      </c>
      <c r="D10" s="105">
        <v>-1</v>
      </c>
      <c r="E10" s="106">
        <v>4270.4649651972159</v>
      </c>
      <c r="F10" s="106">
        <v>4811.8416119962512</v>
      </c>
      <c r="G10" s="105">
        <v>12.7</v>
      </c>
      <c r="H10" s="105">
        <v>920.3</v>
      </c>
      <c r="I10" s="105">
        <v>1026.8</v>
      </c>
      <c r="J10" s="105">
        <v>11.6</v>
      </c>
      <c r="K10" s="26"/>
    </row>
    <row r="11" spans="1:14" ht="17.25" customHeight="1" x14ac:dyDescent="0.2">
      <c r="A11" s="107" t="s">
        <v>22</v>
      </c>
      <c r="B11" s="105">
        <v>212.1</v>
      </c>
      <c r="C11" s="105">
        <v>210</v>
      </c>
      <c r="D11" s="105">
        <v>-1</v>
      </c>
      <c r="E11" s="106">
        <v>4300</v>
      </c>
      <c r="F11" s="106">
        <v>4850</v>
      </c>
      <c r="G11" s="105">
        <v>12.8</v>
      </c>
      <c r="H11" s="105">
        <v>912</v>
      </c>
      <c r="I11" s="105">
        <v>1018.5</v>
      </c>
      <c r="J11" s="105">
        <v>11.7</v>
      </c>
      <c r="K11" s="26"/>
    </row>
    <row r="12" spans="1:14" ht="17.25" customHeight="1" x14ac:dyDescent="0.2">
      <c r="A12" s="107" t="s">
        <v>23</v>
      </c>
      <c r="B12" s="105">
        <v>3.4</v>
      </c>
      <c r="C12" s="105">
        <v>3.4</v>
      </c>
      <c r="D12" s="105">
        <v>0</v>
      </c>
      <c r="E12" s="106">
        <v>2428</v>
      </c>
      <c r="F12" s="106">
        <v>2455</v>
      </c>
      <c r="G12" s="105">
        <v>1.1000000000000001</v>
      </c>
      <c r="H12" s="105">
        <v>8.3000000000000007</v>
      </c>
      <c r="I12" s="105">
        <v>8.3000000000000007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7.9</v>
      </c>
      <c r="C13" s="105">
        <v>7.9</v>
      </c>
      <c r="D13" s="105">
        <v>0</v>
      </c>
      <c r="E13" s="106">
        <v>6974.6835443037971</v>
      </c>
      <c r="F13" s="106">
        <v>6875.2911392405067</v>
      </c>
      <c r="G13" s="105">
        <v>-1.4</v>
      </c>
      <c r="H13" s="105">
        <v>55.1</v>
      </c>
      <c r="I13" s="105">
        <v>54.4</v>
      </c>
      <c r="J13" s="105">
        <v>-1.3</v>
      </c>
      <c r="K13" s="26"/>
    </row>
    <row r="14" spans="1:14" ht="17.25" customHeight="1" x14ac:dyDescent="0.2">
      <c r="A14" s="107" t="s">
        <v>25</v>
      </c>
      <c r="B14" s="105">
        <v>0.4</v>
      </c>
      <c r="C14" s="105">
        <v>0.4</v>
      </c>
      <c r="D14" s="105">
        <v>0</v>
      </c>
      <c r="E14" s="106">
        <v>2750</v>
      </c>
      <c r="F14" s="106">
        <v>2662</v>
      </c>
      <c r="G14" s="105">
        <v>-3.2</v>
      </c>
      <c r="H14" s="105">
        <v>1.1000000000000001</v>
      </c>
      <c r="I14" s="105">
        <v>1.1000000000000001</v>
      </c>
      <c r="J14" s="105">
        <v>0</v>
      </c>
      <c r="K14" s="26"/>
    </row>
    <row r="15" spans="1:14" ht="17.25" customHeight="1" x14ac:dyDescent="0.2">
      <c r="A15" s="107" t="s">
        <v>26</v>
      </c>
      <c r="B15" s="105">
        <v>7.5</v>
      </c>
      <c r="C15" s="105">
        <v>7.5</v>
      </c>
      <c r="D15" s="105">
        <v>0</v>
      </c>
      <c r="E15" s="106">
        <v>7200</v>
      </c>
      <c r="F15" s="106">
        <v>7100</v>
      </c>
      <c r="G15" s="105">
        <v>-1.4</v>
      </c>
      <c r="H15" s="105">
        <v>54</v>
      </c>
      <c r="I15" s="105">
        <v>53.3</v>
      </c>
      <c r="J15" s="105">
        <v>-1.3</v>
      </c>
      <c r="K15" s="26"/>
    </row>
    <row r="16" spans="1:14" ht="17.25" customHeight="1" x14ac:dyDescent="0.2">
      <c r="A16" s="104" t="s">
        <v>27</v>
      </c>
      <c r="B16" s="105">
        <v>77.8</v>
      </c>
      <c r="C16" s="105">
        <v>77.8</v>
      </c>
      <c r="D16" s="105">
        <v>0</v>
      </c>
      <c r="E16" s="106">
        <v>2272.1336760925451</v>
      </c>
      <c r="F16" s="106">
        <v>2339.7583547557842</v>
      </c>
      <c r="G16" s="105">
        <v>3</v>
      </c>
      <c r="H16" s="105">
        <v>176.8</v>
      </c>
      <c r="I16" s="105">
        <v>182</v>
      </c>
      <c r="J16" s="105">
        <v>2.9</v>
      </c>
      <c r="K16" s="26"/>
    </row>
    <row r="17" spans="1:12" ht="17.25" customHeight="1" x14ac:dyDescent="0.2">
      <c r="A17" s="107" t="s">
        <v>31</v>
      </c>
      <c r="B17" s="105">
        <v>45</v>
      </c>
      <c r="C17" s="105">
        <v>45</v>
      </c>
      <c r="D17" s="105">
        <v>0</v>
      </c>
      <c r="E17" s="106">
        <v>2428</v>
      </c>
      <c r="F17" s="106">
        <v>2500</v>
      </c>
      <c r="G17" s="105">
        <v>3</v>
      </c>
      <c r="H17" s="105">
        <v>109.3</v>
      </c>
      <c r="I17" s="105">
        <v>112.5</v>
      </c>
      <c r="J17" s="105">
        <v>2.9</v>
      </c>
      <c r="K17" s="26"/>
    </row>
    <row r="18" spans="1:12" s="1" customFormat="1" ht="17.25" customHeight="1" x14ac:dyDescent="0.2">
      <c r="A18" s="111" t="s">
        <v>32</v>
      </c>
      <c r="B18" s="105">
        <v>45</v>
      </c>
      <c r="C18" s="105">
        <v>45</v>
      </c>
      <c r="D18" s="105">
        <v>0</v>
      </c>
      <c r="E18" s="106">
        <v>2428</v>
      </c>
      <c r="F18" s="106">
        <v>2500</v>
      </c>
      <c r="G18" s="105">
        <v>3</v>
      </c>
      <c r="H18" s="105">
        <v>109.3</v>
      </c>
      <c r="I18" s="105">
        <v>112.5</v>
      </c>
      <c r="J18" s="105">
        <v>2.9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0</v>
      </c>
      <c r="C20" s="105">
        <v>0</v>
      </c>
      <c r="D20" s="105">
        <v>0</v>
      </c>
      <c r="E20" s="106">
        <v>0</v>
      </c>
      <c r="F20" s="106">
        <v>0</v>
      </c>
      <c r="G20" s="105">
        <v>0</v>
      </c>
      <c r="H20" s="105">
        <v>0</v>
      </c>
      <c r="I20" s="105">
        <v>0</v>
      </c>
      <c r="J20" s="105">
        <v>0</v>
      </c>
      <c r="K20" s="51"/>
      <c r="L20" s="2"/>
    </row>
    <row r="21" spans="1:12" ht="17.25" customHeight="1" x14ac:dyDescent="0.2">
      <c r="A21" s="107" t="s">
        <v>35</v>
      </c>
      <c r="B21" s="105">
        <v>17.3</v>
      </c>
      <c r="C21" s="105">
        <v>17.3</v>
      </c>
      <c r="D21" s="105">
        <v>0</v>
      </c>
      <c r="E21" s="106">
        <v>1650</v>
      </c>
      <c r="F21" s="106">
        <v>1774</v>
      </c>
      <c r="G21" s="105">
        <v>7.5</v>
      </c>
      <c r="H21" s="105">
        <v>28.5</v>
      </c>
      <c r="I21" s="105">
        <v>30.7</v>
      </c>
      <c r="J21" s="105">
        <v>7.7</v>
      </c>
      <c r="K21" s="26"/>
    </row>
    <row r="22" spans="1:12" s="1" customFormat="1" ht="17.25" customHeight="1" x14ac:dyDescent="0.2">
      <c r="A22" s="111" t="s">
        <v>32</v>
      </c>
      <c r="B22" s="105">
        <v>17.3</v>
      </c>
      <c r="C22" s="105">
        <v>17.3</v>
      </c>
      <c r="D22" s="105">
        <v>0</v>
      </c>
      <c r="E22" s="106">
        <v>1650</v>
      </c>
      <c r="F22" s="106">
        <v>1774</v>
      </c>
      <c r="G22" s="105">
        <v>7.5</v>
      </c>
      <c r="H22" s="105">
        <v>28.5</v>
      </c>
      <c r="I22" s="105">
        <v>30.7</v>
      </c>
      <c r="J22" s="105">
        <v>7.7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0</v>
      </c>
      <c r="C24" s="105">
        <v>0</v>
      </c>
      <c r="D24" s="105">
        <v>0</v>
      </c>
      <c r="E24" s="106">
        <v>0</v>
      </c>
      <c r="F24" s="106">
        <v>0</v>
      </c>
      <c r="G24" s="105">
        <v>0</v>
      </c>
      <c r="H24" s="105">
        <v>0</v>
      </c>
      <c r="I24" s="105">
        <v>0</v>
      </c>
      <c r="J24" s="105">
        <v>0</v>
      </c>
      <c r="K24" s="51"/>
      <c r="L24" s="2"/>
    </row>
    <row r="25" spans="1:12" ht="17.25" customHeight="1" x14ac:dyDescent="0.2">
      <c r="A25" s="107" t="s">
        <v>36</v>
      </c>
      <c r="B25" s="105">
        <v>15.5</v>
      </c>
      <c r="C25" s="105">
        <v>15.5</v>
      </c>
      <c r="D25" s="105">
        <v>0</v>
      </c>
      <c r="E25" s="106">
        <v>2514</v>
      </c>
      <c r="F25" s="106">
        <v>2506</v>
      </c>
      <c r="G25" s="105">
        <v>-0.3</v>
      </c>
      <c r="H25" s="105">
        <v>39</v>
      </c>
      <c r="I25" s="105">
        <v>38.799999999999997</v>
      </c>
      <c r="J25" s="105">
        <v>-0.5</v>
      </c>
      <c r="K25" s="26"/>
    </row>
    <row r="26" spans="1:12" s="1" customFormat="1" ht="17.25" customHeight="1" x14ac:dyDescent="0.2">
      <c r="A26" s="111" t="s">
        <v>32</v>
      </c>
      <c r="B26" s="105">
        <v>15.5</v>
      </c>
      <c r="C26" s="105">
        <v>15.5</v>
      </c>
      <c r="D26" s="105">
        <v>0</v>
      </c>
      <c r="E26" s="106">
        <v>2514</v>
      </c>
      <c r="F26" s="106">
        <v>2506</v>
      </c>
      <c r="G26" s="105">
        <v>-0.3</v>
      </c>
      <c r="H26" s="105">
        <v>39</v>
      </c>
      <c r="I26" s="105">
        <v>38.799999999999997</v>
      </c>
      <c r="J26" s="105">
        <v>-0.5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0</v>
      </c>
      <c r="C29" s="105">
        <v>0</v>
      </c>
      <c r="D29" s="105">
        <v>0</v>
      </c>
      <c r="E29" s="106">
        <v>0</v>
      </c>
      <c r="F29" s="106">
        <v>0</v>
      </c>
      <c r="G29" s="105">
        <v>0</v>
      </c>
      <c r="H29" s="105">
        <v>0</v>
      </c>
      <c r="I29" s="105">
        <v>0</v>
      </c>
      <c r="J29" s="105">
        <v>0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744.8</v>
      </c>
      <c r="C32" s="105">
        <v>772.7</v>
      </c>
      <c r="D32" s="105">
        <v>3.7</v>
      </c>
      <c r="E32" s="106">
        <v>5907.0784103114938</v>
      </c>
      <c r="F32" s="106">
        <v>6116.409990940856</v>
      </c>
      <c r="G32" s="105">
        <v>3.5</v>
      </c>
      <c r="H32" s="105">
        <v>4399.6000000000004</v>
      </c>
      <c r="I32" s="105">
        <v>4726.2</v>
      </c>
      <c r="J32" s="105">
        <v>7.4</v>
      </c>
      <c r="K32" s="26"/>
    </row>
    <row r="33" spans="1:14" ht="17.25" customHeight="1" x14ac:dyDescent="0.2">
      <c r="A33" s="107" t="s">
        <v>41</v>
      </c>
      <c r="B33" s="105">
        <v>265.7</v>
      </c>
      <c r="C33" s="105">
        <v>278.7</v>
      </c>
      <c r="D33" s="105">
        <v>4.9000000000000004</v>
      </c>
      <c r="E33" s="106">
        <v>6010</v>
      </c>
      <c r="F33" s="106">
        <v>6500</v>
      </c>
      <c r="G33" s="105">
        <v>8.1999999999999993</v>
      </c>
      <c r="H33" s="105">
        <v>1596.9</v>
      </c>
      <c r="I33" s="105">
        <v>1811.6</v>
      </c>
      <c r="J33" s="105">
        <v>13.4</v>
      </c>
      <c r="K33" s="26"/>
    </row>
    <row r="34" spans="1:14" ht="17.25" customHeight="1" x14ac:dyDescent="0.2">
      <c r="A34" s="107" t="s">
        <v>42</v>
      </c>
      <c r="B34" s="105">
        <v>479.1</v>
      </c>
      <c r="C34" s="105">
        <v>494</v>
      </c>
      <c r="D34" s="105">
        <v>3.1</v>
      </c>
      <c r="E34" s="106">
        <v>5850</v>
      </c>
      <c r="F34" s="106">
        <v>5900</v>
      </c>
      <c r="G34" s="105">
        <v>0.9</v>
      </c>
      <c r="H34" s="105">
        <v>2802.7</v>
      </c>
      <c r="I34" s="105">
        <v>2914.6</v>
      </c>
      <c r="J34" s="105">
        <v>4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1355.6</v>
      </c>
      <c r="C36" s="105">
        <v>1396.3</v>
      </c>
      <c r="D36" s="105">
        <v>3</v>
      </c>
      <c r="E36" s="106">
        <v>3893</v>
      </c>
      <c r="F36" s="106">
        <v>3845</v>
      </c>
      <c r="G36" s="105">
        <v>-1.2</v>
      </c>
      <c r="H36" s="105">
        <v>5277.4</v>
      </c>
      <c r="I36" s="105">
        <v>5368.8</v>
      </c>
      <c r="J36" s="105">
        <v>1.7</v>
      </c>
      <c r="K36" s="26"/>
    </row>
    <row r="37" spans="1:14" ht="17.25" customHeight="1" x14ac:dyDescent="0.2">
      <c r="A37" s="104" t="s">
        <v>45</v>
      </c>
      <c r="B37" s="105">
        <v>138</v>
      </c>
      <c r="C37" s="105">
        <v>148.80000000000001</v>
      </c>
      <c r="D37" s="105">
        <v>7.8</v>
      </c>
      <c r="E37" s="106">
        <v>3228</v>
      </c>
      <c r="F37" s="106">
        <v>3645</v>
      </c>
      <c r="G37" s="105">
        <v>12.9</v>
      </c>
      <c r="H37" s="105">
        <v>445.5</v>
      </c>
      <c r="I37" s="105">
        <v>542.4</v>
      </c>
      <c r="J37" s="105">
        <v>21.8</v>
      </c>
      <c r="K37" s="26"/>
    </row>
    <row r="38" spans="1:14" ht="17.25" customHeight="1" x14ac:dyDescent="0.2">
      <c r="A38" s="113" t="s">
        <v>46</v>
      </c>
      <c r="B38" s="114">
        <v>2547.1</v>
      </c>
      <c r="C38" s="114">
        <v>2624.4000000000005</v>
      </c>
      <c r="D38" s="114">
        <v>3</v>
      </c>
      <c r="E38" s="115">
        <v>4433</v>
      </c>
      <c r="F38" s="115">
        <v>4541</v>
      </c>
      <c r="G38" s="114">
        <v>2.4</v>
      </c>
      <c r="H38" s="114">
        <v>11291.2</v>
      </c>
      <c r="I38" s="114">
        <v>11917.1</v>
      </c>
      <c r="J38" s="116">
        <v>5.5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4.0999999999999996</v>
      </c>
      <c r="C45" s="105">
        <v>4.0999999999999996</v>
      </c>
      <c r="D45" s="105">
        <v>0</v>
      </c>
      <c r="E45" s="106">
        <v>3200</v>
      </c>
      <c r="F45" s="106">
        <v>3200</v>
      </c>
      <c r="G45" s="105">
        <v>0</v>
      </c>
      <c r="H45" s="105">
        <v>13.1</v>
      </c>
      <c r="I45" s="105">
        <v>13.1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115</v>
      </c>
      <c r="C46" s="105">
        <v>115</v>
      </c>
      <c r="D46" s="105">
        <v>0</v>
      </c>
      <c r="E46" s="106">
        <v>3086</v>
      </c>
      <c r="F46" s="106">
        <v>3053</v>
      </c>
      <c r="G46" s="105">
        <v>-1.1000000000000001</v>
      </c>
      <c r="H46" s="105">
        <v>354.9</v>
      </c>
      <c r="I46" s="105">
        <v>351.1</v>
      </c>
      <c r="J46" s="105">
        <v>-1.1000000000000001</v>
      </c>
      <c r="K46" s="26"/>
    </row>
    <row r="47" spans="1:14" ht="17.25" customHeight="1" x14ac:dyDescent="0.2">
      <c r="A47" s="104" t="s">
        <v>53</v>
      </c>
      <c r="B47" s="105">
        <v>1.8</v>
      </c>
      <c r="C47" s="105">
        <v>1.8</v>
      </c>
      <c r="D47" s="105">
        <v>0</v>
      </c>
      <c r="E47" s="106">
        <v>2789</v>
      </c>
      <c r="F47" s="106">
        <v>2745</v>
      </c>
      <c r="G47" s="105">
        <v>-1.6</v>
      </c>
      <c r="H47" s="105">
        <v>5</v>
      </c>
      <c r="I47" s="105">
        <v>4.9000000000000004</v>
      </c>
      <c r="J47" s="105">
        <v>-2</v>
      </c>
      <c r="K47" s="26"/>
    </row>
    <row r="48" spans="1:14" ht="17.25" customHeight="1" x14ac:dyDescent="0.2">
      <c r="A48" s="117" t="s">
        <v>46</v>
      </c>
      <c r="B48" s="118">
        <v>120.89999999999999</v>
      </c>
      <c r="C48" s="118">
        <v>120.89999999999999</v>
      </c>
      <c r="D48" s="118">
        <v>0</v>
      </c>
      <c r="E48" s="119">
        <v>3085</v>
      </c>
      <c r="F48" s="119">
        <v>3053</v>
      </c>
      <c r="G48" s="118">
        <v>-1</v>
      </c>
      <c r="H48" s="118">
        <v>373</v>
      </c>
      <c r="I48" s="118">
        <v>369.1</v>
      </c>
      <c r="J48" s="120">
        <v>-1</v>
      </c>
      <c r="K48" s="26"/>
    </row>
    <row r="49" spans="1:17" ht="17.25" customHeight="1" x14ac:dyDescent="0.2">
      <c r="A49" s="121" t="s">
        <v>203</v>
      </c>
      <c r="B49" s="122">
        <v>2668</v>
      </c>
      <c r="C49" s="122">
        <v>2745.3000000000006</v>
      </c>
      <c r="D49" s="123">
        <v>2.9</v>
      </c>
      <c r="E49" s="124">
        <v>4372</v>
      </c>
      <c r="F49" s="124">
        <v>4475</v>
      </c>
      <c r="G49" s="123">
        <v>2.4</v>
      </c>
      <c r="H49" s="122">
        <v>11664.2</v>
      </c>
      <c r="I49" s="122">
        <v>12286.2</v>
      </c>
      <c r="J49" s="125">
        <v>5.3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W60"/>
  <sheetViews>
    <sheetView showGridLines="0" zoomScale="85" zoomScaleNormal="85" workbookViewId="0">
      <pane xSplit="1" ySplit="7" topLeftCell="B10" activePane="bottomRight" state="frozen"/>
      <selection pane="topRight"/>
      <selection pane="bottomLeft"/>
      <selection pane="bottomRight"/>
    </sheetView>
  </sheetViews>
  <sheetFormatPr defaultColWidth="11.42578125" defaultRowHeight="20.25" customHeight="1" x14ac:dyDescent="0.2"/>
  <cols>
    <col min="1" max="1" width="32.42578125" style="2" customWidth="1"/>
    <col min="2" max="3" width="11.42578125" style="2" customWidth="1"/>
    <col min="4" max="4" width="9.42578125" style="2" customWidth="1"/>
    <col min="5" max="6" width="11.42578125" style="2" customWidth="1"/>
    <col min="7" max="7" width="8.42578125" style="2" customWidth="1"/>
    <col min="8" max="9" width="11.42578125" style="2" customWidth="1"/>
    <col min="10" max="10" width="10" style="2" customWidth="1"/>
    <col min="11" max="257" width="11.42578125" style="2" customWidth="1"/>
  </cols>
  <sheetData>
    <row r="1" spans="1:14" ht="17.25" customHeight="1" x14ac:dyDescent="0.2">
      <c r="K1" s="70"/>
    </row>
    <row r="2" spans="1:14" ht="17.25" customHeight="1" x14ac:dyDescent="0.2">
      <c r="K2" s="70"/>
    </row>
    <row r="3" spans="1:14" ht="17.25" customHeight="1" x14ac:dyDescent="0.2">
      <c r="K3" s="70"/>
    </row>
    <row r="4" spans="1:14" ht="17.25" customHeight="1" x14ac:dyDescent="0.2">
      <c r="K4" s="26"/>
    </row>
    <row r="5" spans="1:14" ht="17.25" customHeight="1" x14ac:dyDescent="0.2">
      <c r="A5" s="411" t="s">
        <v>9</v>
      </c>
      <c r="B5" s="414" t="s">
        <v>62</v>
      </c>
      <c r="C5" s="414"/>
      <c r="D5" s="414"/>
      <c r="E5" s="414" t="s">
        <v>63</v>
      </c>
      <c r="F5" s="414"/>
      <c r="G5" s="414"/>
      <c r="H5" s="414" t="s">
        <v>64</v>
      </c>
      <c r="I5" s="414"/>
      <c r="J5" s="414"/>
      <c r="K5" s="26"/>
    </row>
    <row r="6" spans="1:14" ht="17.25" customHeight="1" x14ac:dyDescent="0.2">
      <c r="A6" s="430"/>
      <c r="B6" s="97" t="s">
        <v>2</v>
      </c>
      <c r="C6" s="98" t="s">
        <v>5</v>
      </c>
      <c r="D6" s="98" t="s">
        <v>65</v>
      </c>
      <c r="E6" s="98" t="s">
        <v>2</v>
      </c>
      <c r="F6" s="98" t="s">
        <v>5</v>
      </c>
      <c r="G6" s="98" t="s">
        <v>65</v>
      </c>
      <c r="H6" s="98" t="s">
        <v>2</v>
      </c>
      <c r="I6" s="98" t="s">
        <v>5</v>
      </c>
      <c r="J6" s="99" t="s">
        <v>65</v>
      </c>
      <c r="K6" s="26"/>
    </row>
    <row r="7" spans="1:14" ht="18.75" customHeight="1" x14ac:dyDescent="0.2">
      <c r="A7" s="429"/>
      <c r="B7" s="71" t="s">
        <v>66</v>
      </c>
      <c r="C7" s="100" t="s">
        <v>67</v>
      </c>
      <c r="D7" s="100" t="s">
        <v>68</v>
      </c>
      <c r="E7" s="100" t="s">
        <v>69</v>
      </c>
      <c r="F7" s="100" t="s">
        <v>70</v>
      </c>
      <c r="G7" s="101" t="s">
        <v>71</v>
      </c>
      <c r="H7" s="75" t="s">
        <v>72</v>
      </c>
      <c r="I7" s="100" t="s">
        <v>73</v>
      </c>
      <c r="J7" s="100" t="s">
        <v>74</v>
      </c>
      <c r="K7" s="102"/>
      <c r="L7" s="77"/>
      <c r="M7" s="103"/>
      <c r="N7" s="103"/>
    </row>
    <row r="8" spans="1:14" ht="17.25" customHeight="1" x14ac:dyDescent="0.2">
      <c r="A8" s="104" t="s">
        <v>110</v>
      </c>
      <c r="B8" s="105">
        <v>14.5</v>
      </c>
      <c r="C8" s="105">
        <v>10.199999999999999</v>
      </c>
      <c r="D8" s="105">
        <v>-29.7</v>
      </c>
      <c r="E8" s="106">
        <v>2615.4</v>
      </c>
      <c r="F8" s="106">
        <v>2670.6</v>
      </c>
      <c r="G8" s="105">
        <v>2.1</v>
      </c>
      <c r="H8" s="105">
        <v>37.900000000000006</v>
      </c>
      <c r="I8" s="105">
        <v>27.2</v>
      </c>
      <c r="J8" s="105">
        <v>-28.2</v>
      </c>
      <c r="K8" s="26"/>
    </row>
    <row r="9" spans="1:14" ht="17.25" customHeight="1" x14ac:dyDescent="0.2">
      <c r="A9" s="104" t="s">
        <v>111</v>
      </c>
      <c r="B9" s="105">
        <v>14.5</v>
      </c>
      <c r="C9" s="105">
        <v>10.199999999999999</v>
      </c>
      <c r="D9" s="105">
        <v>-29.7</v>
      </c>
      <c r="E9" s="106">
        <v>1743.6000000000001</v>
      </c>
      <c r="F9" s="106">
        <v>1780.4000000000003</v>
      </c>
      <c r="G9" s="105">
        <v>2.1</v>
      </c>
      <c r="H9" s="105">
        <v>25.3</v>
      </c>
      <c r="I9" s="105">
        <v>18.2</v>
      </c>
      <c r="J9" s="105">
        <v>-28.1</v>
      </c>
      <c r="K9" s="26"/>
    </row>
    <row r="10" spans="1:14" ht="17.25" customHeight="1" x14ac:dyDescent="0.2">
      <c r="A10" s="104" t="s">
        <v>21</v>
      </c>
      <c r="B10" s="105">
        <v>0.9</v>
      </c>
      <c r="C10" s="105">
        <v>1.2</v>
      </c>
      <c r="D10" s="105">
        <v>33.299999999999997</v>
      </c>
      <c r="E10" s="106">
        <v>4000</v>
      </c>
      <c r="F10" s="106">
        <v>4000</v>
      </c>
      <c r="G10" s="105">
        <v>0</v>
      </c>
      <c r="H10" s="105">
        <v>3.6</v>
      </c>
      <c r="I10" s="105">
        <v>4.8</v>
      </c>
      <c r="J10" s="105">
        <v>33.299999999999997</v>
      </c>
      <c r="K10" s="26"/>
    </row>
    <row r="11" spans="1:14" ht="17.25" customHeight="1" x14ac:dyDescent="0.2">
      <c r="A11" s="107" t="s">
        <v>22</v>
      </c>
      <c r="B11" s="105">
        <v>0.9</v>
      </c>
      <c r="C11" s="105">
        <v>1.2</v>
      </c>
      <c r="D11" s="105">
        <v>33.299999999999997</v>
      </c>
      <c r="E11" s="106">
        <v>4000</v>
      </c>
      <c r="F11" s="106">
        <v>4000</v>
      </c>
      <c r="G11" s="105">
        <v>0</v>
      </c>
      <c r="H11" s="105">
        <v>3.6</v>
      </c>
      <c r="I11" s="105">
        <v>4.8</v>
      </c>
      <c r="J11" s="105">
        <v>33.299999999999997</v>
      </c>
      <c r="K11" s="26"/>
    </row>
    <row r="12" spans="1:14" ht="17.25" customHeight="1" x14ac:dyDescent="0.2">
      <c r="A12" s="107" t="s">
        <v>23</v>
      </c>
      <c r="B12" s="105">
        <v>0</v>
      </c>
      <c r="C12" s="105">
        <v>0</v>
      </c>
      <c r="D12" s="105">
        <v>0</v>
      </c>
      <c r="E12" s="106">
        <v>0</v>
      </c>
      <c r="F12" s="106">
        <v>0</v>
      </c>
      <c r="G12" s="105">
        <v>0</v>
      </c>
      <c r="H12" s="105">
        <v>0</v>
      </c>
      <c r="I12" s="105">
        <v>0</v>
      </c>
      <c r="J12" s="105">
        <v>0</v>
      </c>
      <c r="K12" s="26"/>
    </row>
    <row r="13" spans="1:14" ht="17.25" customHeight="1" x14ac:dyDescent="0.2">
      <c r="A13" s="104" t="s">
        <v>24</v>
      </c>
      <c r="B13" s="105">
        <v>133.5</v>
      </c>
      <c r="C13" s="105">
        <v>107.3</v>
      </c>
      <c r="D13" s="105">
        <v>-19.600000000000001</v>
      </c>
      <c r="E13" s="106">
        <v>6160.7033707865176</v>
      </c>
      <c r="F13" s="106">
        <v>5929.2907735321533</v>
      </c>
      <c r="G13" s="105">
        <v>-3.8</v>
      </c>
      <c r="H13" s="105">
        <v>822.5</v>
      </c>
      <c r="I13" s="105">
        <v>636.19999999999993</v>
      </c>
      <c r="J13" s="105">
        <v>-22.7</v>
      </c>
      <c r="K13" s="26"/>
    </row>
    <row r="14" spans="1:14" ht="17.25" customHeight="1" x14ac:dyDescent="0.2">
      <c r="A14" s="107" t="s">
        <v>25</v>
      </c>
      <c r="B14" s="105">
        <v>6.6</v>
      </c>
      <c r="C14" s="105">
        <v>6.2</v>
      </c>
      <c r="D14" s="105">
        <v>-6.1</v>
      </c>
      <c r="E14" s="106">
        <v>2348</v>
      </c>
      <c r="F14" s="106">
        <v>2314</v>
      </c>
      <c r="G14" s="105">
        <v>-1.4</v>
      </c>
      <c r="H14" s="105">
        <v>15.5</v>
      </c>
      <c r="I14" s="105">
        <v>14.3</v>
      </c>
      <c r="J14" s="105">
        <v>-7.7</v>
      </c>
      <c r="K14" s="26"/>
    </row>
    <row r="15" spans="1:14" ht="17.25" customHeight="1" x14ac:dyDescent="0.2">
      <c r="A15" s="107" t="s">
        <v>26</v>
      </c>
      <c r="B15" s="105">
        <v>126.9</v>
      </c>
      <c r="C15" s="105">
        <v>101.1</v>
      </c>
      <c r="D15" s="105">
        <v>-20.3</v>
      </c>
      <c r="E15" s="106">
        <v>6359</v>
      </c>
      <c r="F15" s="106">
        <v>6151</v>
      </c>
      <c r="G15" s="105">
        <v>-3.3</v>
      </c>
      <c r="H15" s="105">
        <v>807</v>
      </c>
      <c r="I15" s="105">
        <v>621.9</v>
      </c>
      <c r="J15" s="105">
        <v>-22.9</v>
      </c>
      <c r="K15" s="26"/>
    </row>
    <row r="16" spans="1:14" ht="17.25" customHeight="1" x14ac:dyDescent="0.2">
      <c r="A16" s="104" t="s">
        <v>27</v>
      </c>
      <c r="B16" s="105">
        <v>77.599999999999994</v>
      </c>
      <c r="C16" s="105">
        <v>128.80000000000001</v>
      </c>
      <c r="D16" s="105">
        <v>66</v>
      </c>
      <c r="E16" s="106">
        <v>1205.1146907216496</v>
      </c>
      <c r="F16" s="106">
        <v>1099.310559006211</v>
      </c>
      <c r="G16" s="105">
        <v>-8.8000000000000007</v>
      </c>
      <c r="H16" s="105">
        <v>93.5</v>
      </c>
      <c r="I16" s="105">
        <v>141.6</v>
      </c>
      <c r="J16" s="105">
        <v>51.4</v>
      </c>
      <c r="K16" s="26"/>
    </row>
    <row r="17" spans="1:12" ht="17.25" customHeight="1" x14ac:dyDescent="0.2">
      <c r="A17" s="107" t="s">
        <v>31</v>
      </c>
      <c r="B17" s="105">
        <v>7.5</v>
      </c>
      <c r="C17" s="105">
        <v>7.4</v>
      </c>
      <c r="D17" s="105">
        <v>-1.3</v>
      </c>
      <c r="E17" s="106">
        <v>869</v>
      </c>
      <c r="F17" s="106">
        <v>1011</v>
      </c>
      <c r="G17" s="105">
        <v>16.3</v>
      </c>
      <c r="H17" s="105">
        <v>6.5</v>
      </c>
      <c r="I17" s="105">
        <v>7.5</v>
      </c>
      <c r="J17" s="105">
        <v>15.4</v>
      </c>
      <c r="K17" s="26"/>
    </row>
    <row r="18" spans="1:12" s="1" customFormat="1" ht="17.25" customHeight="1" x14ac:dyDescent="0.2">
      <c r="A18" s="111" t="s">
        <v>32</v>
      </c>
      <c r="B18" s="105">
        <v>0</v>
      </c>
      <c r="C18" s="105">
        <v>0</v>
      </c>
      <c r="D18" s="105">
        <v>0</v>
      </c>
      <c r="E18" s="106">
        <v>0</v>
      </c>
      <c r="F18" s="106">
        <v>0</v>
      </c>
      <c r="G18" s="105">
        <v>0</v>
      </c>
      <c r="H18" s="105">
        <v>0</v>
      </c>
      <c r="I18" s="105">
        <v>0</v>
      </c>
      <c r="J18" s="105">
        <v>0</v>
      </c>
      <c r="K18" s="51"/>
      <c r="L18" s="2"/>
    </row>
    <row r="19" spans="1:12" s="1" customFormat="1" ht="17.25" customHeight="1" x14ac:dyDescent="0.2">
      <c r="A19" s="111" t="s">
        <v>33</v>
      </c>
      <c r="B19" s="105">
        <v>0</v>
      </c>
      <c r="C19" s="105">
        <v>0</v>
      </c>
      <c r="D19" s="105">
        <v>0</v>
      </c>
      <c r="E19" s="106">
        <v>0</v>
      </c>
      <c r="F19" s="106">
        <v>0</v>
      </c>
      <c r="G19" s="105">
        <v>0</v>
      </c>
      <c r="H19" s="105">
        <v>0</v>
      </c>
      <c r="I19" s="105">
        <v>0</v>
      </c>
      <c r="J19" s="105">
        <v>0</v>
      </c>
      <c r="K19" s="51"/>
      <c r="L19" s="2"/>
    </row>
    <row r="20" spans="1:12" s="1" customFormat="1" ht="17.25" customHeight="1" x14ac:dyDescent="0.2">
      <c r="A20" s="111" t="s">
        <v>34</v>
      </c>
      <c r="B20" s="105">
        <v>7.5</v>
      </c>
      <c r="C20" s="105">
        <v>7.4</v>
      </c>
      <c r="D20" s="105">
        <v>-1.3</v>
      </c>
      <c r="E20" s="106">
        <v>869</v>
      </c>
      <c r="F20" s="106">
        <v>1011</v>
      </c>
      <c r="G20" s="105">
        <v>16.3</v>
      </c>
      <c r="H20" s="105">
        <v>6.5</v>
      </c>
      <c r="I20" s="105">
        <v>7.5</v>
      </c>
      <c r="J20" s="105">
        <v>15.4</v>
      </c>
      <c r="K20" s="51"/>
      <c r="L20" s="2"/>
    </row>
    <row r="21" spans="1:12" ht="17.25" customHeight="1" x14ac:dyDescent="0.2">
      <c r="A21" s="107" t="s">
        <v>35</v>
      </c>
      <c r="B21" s="105">
        <v>69.8</v>
      </c>
      <c r="C21" s="105">
        <v>121</v>
      </c>
      <c r="D21" s="105">
        <v>73.400000000000006</v>
      </c>
      <c r="E21" s="106">
        <v>1233</v>
      </c>
      <c r="F21" s="106">
        <v>1099</v>
      </c>
      <c r="G21" s="105">
        <v>-10.9</v>
      </c>
      <c r="H21" s="105">
        <v>86.1</v>
      </c>
      <c r="I21" s="105">
        <v>133</v>
      </c>
      <c r="J21" s="105">
        <v>54.5</v>
      </c>
      <c r="K21" s="26"/>
    </row>
    <row r="22" spans="1:12" s="1" customFormat="1" ht="17.25" customHeight="1" x14ac:dyDescent="0.2">
      <c r="A22" s="111" t="s">
        <v>32</v>
      </c>
      <c r="B22" s="105">
        <v>0</v>
      </c>
      <c r="C22" s="105">
        <v>0</v>
      </c>
      <c r="D22" s="105">
        <v>0</v>
      </c>
      <c r="E22" s="106">
        <v>0</v>
      </c>
      <c r="F22" s="106">
        <v>0</v>
      </c>
      <c r="G22" s="105">
        <v>0</v>
      </c>
      <c r="H22" s="105">
        <v>0</v>
      </c>
      <c r="I22" s="105">
        <v>0</v>
      </c>
      <c r="J22" s="105">
        <v>0</v>
      </c>
      <c r="K22" s="51"/>
      <c r="L22" s="2"/>
    </row>
    <row r="23" spans="1:12" s="1" customFormat="1" ht="17.25" customHeight="1" x14ac:dyDescent="0.2">
      <c r="A23" s="111" t="s">
        <v>33</v>
      </c>
      <c r="B23" s="105">
        <v>0</v>
      </c>
      <c r="C23" s="105">
        <v>0</v>
      </c>
      <c r="D23" s="105">
        <v>0</v>
      </c>
      <c r="E23" s="106">
        <v>0</v>
      </c>
      <c r="F23" s="106">
        <v>0</v>
      </c>
      <c r="G23" s="105">
        <v>0</v>
      </c>
      <c r="H23" s="105">
        <v>0</v>
      </c>
      <c r="I23" s="105">
        <v>0</v>
      </c>
      <c r="J23" s="105">
        <v>0</v>
      </c>
      <c r="K23" s="51"/>
      <c r="L23" s="2"/>
    </row>
    <row r="24" spans="1:12" s="1" customFormat="1" ht="17.25" customHeight="1" x14ac:dyDescent="0.2">
      <c r="A24" s="111" t="s">
        <v>34</v>
      </c>
      <c r="B24" s="105">
        <v>69.8</v>
      </c>
      <c r="C24" s="105">
        <v>121</v>
      </c>
      <c r="D24" s="105">
        <v>73.400000000000006</v>
      </c>
      <c r="E24" s="106">
        <v>1233</v>
      </c>
      <c r="F24" s="106">
        <v>1099</v>
      </c>
      <c r="G24" s="105">
        <v>-10.9</v>
      </c>
      <c r="H24" s="105">
        <v>86.1</v>
      </c>
      <c r="I24" s="105">
        <v>133</v>
      </c>
      <c r="J24" s="105">
        <v>54.5</v>
      </c>
      <c r="K24" s="51"/>
      <c r="L24" s="2"/>
    </row>
    <row r="25" spans="1:12" ht="17.25" customHeight="1" x14ac:dyDescent="0.2">
      <c r="A25" s="107" t="s">
        <v>36</v>
      </c>
      <c r="B25" s="105">
        <v>0.3</v>
      </c>
      <c r="C25" s="105">
        <v>0.4</v>
      </c>
      <c r="D25" s="105">
        <v>33.299999999999997</v>
      </c>
      <c r="E25" s="106">
        <v>3120</v>
      </c>
      <c r="F25" s="106">
        <v>2826.9999999999995</v>
      </c>
      <c r="G25" s="105">
        <v>-9.4</v>
      </c>
      <c r="H25" s="105">
        <v>0.9</v>
      </c>
      <c r="I25" s="105">
        <v>1.1000000000000001</v>
      </c>
      <c r="J25" s="105">
        <v>22.2</v>
      </c>
      <c r="K25" s="26"/>
    </row>
    <row r="26" spans="1:12" s="1" customFormat="1" ht="17.25" customHeight="1" x14ac:dyDescent="0.2">
      <c r="A26" s="111" t="s">
        <v>32</v>
      </c>
      <c r="B26" s="105">
        <v>0.3</v>
      </c>
      <c r="C26" s="105">
        <v>0.4</v>
      </c>
      <c r="D26" s="105">
        <v>33.299999999999997</v>
      </c>
      <c r="E26" s="106">
        <v>3120</v>
      </c>
      <c r="F26" s="106">
        <v>2827</v>
      </c>
      <c r="G26" s="105">
        <v>-9.4</v>
      </c>
      <c r="H26" s="105">
        <v>0.9</v>
      </c>
      <c r="I26" s="105">
        <v>1.1000000000000001</v>
      </c>
      <c r="J26" s="105">
        <v>22.2</v>
      </c>
      <c r="K26" s="51"/>
      <c r="L26" s="2"/>
    </row>
    <row r="27" spans="1:12" s="1" customFormat="1" ht="17.25" customHeight="1" x14ac:dyDescent="0.2">
      <c r="A27" s="111" t="s">
        <v>33</v>
      </c>
      <c r="B27" s="105">
        <v>0</v>
      </c>
      <c r="C27" s="105">
        <v>0</v>
      </c>
      <c r="D27" s="105">
        <v>0</v>
      </c>
      <c r="E27" s="106">
        <v>0</v>
      </c>
      <c r="F27" s="106">
        <v>0</v>
      </c>
      <c r="G27" s="105">
        <v>0</v>
      </c>
      <c r="H27" s="105">
        <v>0</v>
      </c>
      <c r="I27" s="105">
        <v>0</v>
      </c>
      <c r="J27" s="105">
        <v>0</v>
      </c>
      <c r="K27" s="51"/>
      <c r="L27" s="2"/>
    </row>
    <row r="28" spans="1:12" s="1" customFormat="1" ht="17.25" customHeight="1" x14ac:dyDescent="0.2">
      <c r="A28" s="111" t="s">
        <v>34</v>
      </c>
      <c r="B28" s="105">
        <v>0</v>
      </c>
      <c r="C28" s="105">
        <v>0</v>
      </c>
      <c r="D28" s="105">
        <v>0</v>
      </c>
      <c r="E28" s="106">
        <v>0</v>
      </c>
      <c r="F28" s="106">
        <v>0</v>
      </c>
      <c r="G28" s="105">
        <v>0</v>
      </c>
      <c r="H28" s="105">
        <v>0</v>
      </c>
      <c r="I28" s="105">
        <v>0</v>
      </c>
      <c r="J28" s="105">
        <v>0</v>
      </c>
      <c r="K28" s="51"/>
      <c r="L28" s="2"/>
    </row>
    <row r="29" spans="1:12" s="1" customFormat="1" ht="17.25" customHeight="1" x14ac:dyDescent="0.2">
      <c r="A29" s="104" t="s">
        <v>37</v>
      </c>
      <c r="B29" s="105">
        <v>90</v>
      </c>
      <c r="C29" s="105">
        <v>41.9</v>
      </c>
      <c r="D29" s="105">
        <v>-53.4</v>
      </c>
      <c r="E29" s="106">
        <v>571</v>
      </c>
      <c r="F29" s="106">
        <v>512</v>
      </c>
      <c r="G29" s="105">
        <v>-10.3</v>
      </c>
      <c r="H29" s="105">
        <v>51.4</v>
      </c>
      <c r="I29" s="105">
        <v>21.5</v>
      </c>
      <c r="J29" s="105">
        <v>-58.2</v>
      </c>
      <c r="K29" s="51"/>
      <c r="L29" s="2"/>
    </row>
    <row r="30" spans="1:12" ht="17.25" customHeight="1" x14ac:dyDescent="0.2">
      <c r="A30" s="104" t="s">
        <v>38</v>
      </c>
      <c r="B30" s="105">
        <v>0</v>
      </c>
      <c r="C30" s="105">
        <v>0</v>
      </c>
      <c r="D30" s="105">
        <v>0</v>
      </c>
      <c r="E30" s="106">
        <v>0</v>
      </c>
      <c r="F30" s="106">
        <v>0</v>
      </c>
      <c r="G30" s="105">
        <v>0</v>
      </c>
      <c r="H30" s="105">
        <v>0</v>
      </c>
      <c r="I30" s="105">
        <v>0</v>
      </c>
      <c r="J30" s="105">
        <v>0</v>
      </c>
      <c r="K30" s="26"/>
    </row>
    <row r="31" spans="1:12" ht="17.25" customHeight="1" x14ac:dyDescent="0.2">
      <c r="A31" s="104" t="s">
        <v>39</v>
      </c>
      <c r="B31" s="105">
        <v>0</v>
      </c>
      <c r="C31" s="105">
        <v>0</v>
      </c>
      <c r="D31" s="105">
        <v>0</v>
      </c>
      <c r="E31" s="106">
        <v>0</v>
      </c>
      <c r="F31" s="106">
        <v>0</v>
      </c>
      <c r="G31" s="105">
        <v>0</v>
      </c>
      <c r="H31" s="105">
        <v>0</v>
      </c>
      <c r="I31" s="105">
        <v>0</v>
      </c>
      <c r="J31" s="105">
        <v>0</v>
      </c>
      <c r="K31" s="26"/>
    </row>
    <row r="32" spans="1:12" ht="17.25" customHeight="1" x14ac:dyDescent="0.2">
      <c r="A32" s="112" t="s">
        <v>40</v>
      </c>
      <c r="B32" s="105">
        <v>473</v>
      </c>
      <c r="C32" s="105">
        <v>498.3</v>
      </c>
      <c r="D32" s="105">
        <v>5.3</v>
      </c>
      <c r="E32" s="106">
        <v>5629.9183932346732</v>
      </c>
      <c r="F32" s="106">
        <v>5463.8454746136867</v>
      </c>
      <c r="G32" s="105">
        <v>-2.9</v>
      </c>
      <c r="H32" s="105">
        <v>2663</v>
      </c>
      <c r="I32" s="105">
        <v>2722.6</v>
      </c>
      <c r="J32" s="105">
        <v>2.2000000000000002</v>
      </c>
      <c r="K32" s="26"/>
    </row>
    <row r="33" spans="1:14" ht="17.25" customHeight="1" x14ac:dyDescent="0.2">
      <c r="A33" s="107" t="s">
        <v>41</v>
      </c>
      <c r="B33" s="105">
        <v>58.7</v>
      </c>
      <c r="C33" s="105">
        <v>77</v>
      </c>
      <c r="D33" s="105">
        <v>31.2</v>
      </c>
      <c r="E33" s="106">
        <v>6928</v>
      </c>
      <c r="F33" s="106">
        <v>7378</v>
      </c>
      <c r="G33" s="105">
        <v>6.5</v>
      </c>
      <c r="H33" s="105">
        <v>406.7</v>
      </c>
      <c r="I33" s="105">
        <v>568.1</v>
      </c>
      <c r="J33" s="105">
        <v>39.700000000000003</v>
      </c>
      <c r="K33" s="26"/>
    </row>
    <row r="34" spans="1:14" ht="17.25" customHeight="1" x14ac:dyDescent="0.2">
      <c r="A34" s="107" t="s">
        <v>42</v>
      </c>
      <c r="B34" s="105">
        <v>414.3</v>
      </c>
      <c r="C34" s="105">
        <v>421.3</v>
      </c>
      <c r="D34" s="105">
        <v>1.7</v>
      </c>
      <c r="E34" s="106">
        <v>5446</v>
      </c>
      <c r="F34" s="106">
        <v>5114</v>
      </c>
      <c r="G34" s="105">
        <v>-6.1</v>
      </c>
      <c r="H34" s="105">
        <v>2256.3000000000002</v>
      </c>
      <c r="I34" s="105">
        <v>2154.5</v>
      </c>
      <c r="J34" s="105">
        <v>-4.5</v>
      </c>
      <c r="K34" s="26"/>
    </row>
    <row r="35" spans="1:14" ht="17.25" customHeight="1" x14ac:dyDescent="0.2">
      <c r="A35" s="107" t="s">
        <v>43</v>
      </c>
      <c r="B35" s="105">
        <v>0</v>
      </c>
      <c r="C35" s="105">
        <v>0</v>
      </c>
      <c r="D35" s="105">
        <v>0</v>
      </c>
      <c r="E35" s="106">
        <v>0</v>
      </c>
      <c r="F35" s="106">
        <v>0</v>
      </c>
      <c r="G35" s="105">
        <v>0</v>
      </c>
      <c r="H35" s="105">
        <v>0</v>
      </c>
      <c r="I35" s="105">
        <v>0</v>
      </c>
      <c r="J35" s="105">
        <v>0</v>
      </c>
      <c r="K35" s="26"/>
    </row>
    <row r="36" spans="1:14" ht="17.25" customHeight="1" x14ac:dyDescent="0.2">
      <c r="A36" s="104" t="s">
        <v>44</v>
      </c>
      <c r="B36" s="105">
        <v>1564.5</v>
      </c>
      <c r="C36" s="105">
        <v>1645.9</v>
      </c>
      <c r="D36" s="105">
        <v>5.2</v>
      </c>
      <c r="E36" s="106">
        <v>3422</v>
      </c>
      <c r="F36" s="106">
        <v>3642</v>
      </c>
      <c r="G36" s="105">
        <v>6.4</v>
      </c>
      <c r="H36" s="105">
        <v>5353.7</v>
      </c>
      <c r="I36" s="105">
        <v>5994.4</v>
      </c>
      <c r="J36" s="105">
        <v>12</v>
      </c>
      <c r="K36" s="26"/>
    </row>
    <row r="37" spans="1:14" ht="17.25" customHeight="1" x14ac:dyDescent="0.2">
      <c r="A37" s="104" t="s">
        <v>45</v>
      </c>
      <c r="B37" s="105">
        <v>54.6</v>
      </c>
      <c r="C37" s="105">
        <v>71.900000000000006</v>
      </c>
      <c r="D37" s="105">
        <v>31.7</v>
      </c>
      <c r="E37" s="106">
        <v>2683</v>
      </c>
      <c r="F37" s="106">
        <v>2520</v>
      </c>
      <c r="G37" s="105">
        <v>-6.1</v>
      </c>
      <c r="H37" s="105">
        <v>146.5</v>
      </c>
      <c r="I37" s="105">
        <v>181.2</v>
      </c>
      <c r="J37" s="105">
        <v>23.7</v>
      </c>
      <c r="K37" s="26"/>
    </row>
    <row r="38" spans="1:14" ht="17.25" customHeight="1" x14ac:dyDescent="0.2">
      <c r="A38" s="113" t="s">
        <v>46</v>
      </c>
      <c r="B38" s="114">
        <v>2408.6</v>
      </c>
      <c r="C38" s="114">
        <v>2505.5000000000005</v>
      </c>
      <c r="D38" s="114">
        <v>4</v>
      </c>
      <c r="E38" s="115">
        <v>3808</v>
      </c>
      <c r="F38" s="115">
        <v>3883</v>
      </c>
      <c r="G38" s="114">
        <v>2</v>
      </c>
      <c r="H38" s="114">
        <v>9172.1</v>
      </c>
      <c r="I38" s="114">
        <v>9729.5</v>
      </c>
      <c r="J38" s="116">
        <v>6.1</v>
      </c>
      <c r="K38" s="26"/>
    </row>
    <row r="39" spans="1:14" ht="17.25" customHeight="1" x14ac:dyDescent="0.2">
      <c r="A39" s="407" t="s">
        <v>47</v>
      </c>
      <c r="B39" s="407" t="s">
        <v>62</v>
      </c>
      <c r="C39" s="407"/>
      <c r="D39" s="407"/>
      <c r="E39" s="407" t="s">
        <v>63</v>
      </c>
      <c r="F39" s="407"/>
      <c r="G39" s="407"/>
      <c r="H39" s="407" t="s">
        <v>64</v>
      </c>
      <c r="I39" s="407"/>
      <c r="J39" s="407"/>
      <c r="K39" s="26"/>
    </row>
    <row r="40" spans="1:14" ht="17.25" customHeight="1" x14ac:dyDescent="0.2">
      <c r="A40" s="407"/>
      <c r="B40" s="38" t="s">
        <v>3</v>
      </c>
      <c r="C40" s="38" t="s">
        <v>6</v>
      </c>
      <c r="D40" s="34" t="s">
        <v>65</v>
      </c>
      <c r="E40" s="38" t="s">
        <v>3</v>
      </c>
      <c r="F40" s="38" t="s">
        <v>6</v>
      </c>
      <c r="G40" s="34" t="s">
        <v>65</v>
      </c>
      <c r="H40" s="38" t="s">
        <v>3</v>
      </c>
      <c r="I40" s="38" t="s">
        <v>6</v>
      </c>
      <c r="J40" s="34" t="s">
        <v>65</v>
      </c>
      <c r="K40" s="26"/>
    </row>
    <row r="41" spans="1:14" ht="13.5" customHeight="1" x14ac:dyDescent="0.2">
      <c r="A41" s="407"/>
      <c r="B41" s="34" t="s">
        <v>66</v>
      </c>
      <c r="C41" s="7" t="s">
        <v>67</v>
      </c>
      <c r="D41" s="34" t="s">
        <v>68</v>
      </c>
      <c r="E41" s="34" t="s">
        <v>69</v>
      </c>
      <c r="F41" s="34" t="s">
        <v>69</v>
      </c>
      <c r="G41" s="34" t="s">
        <v>71</v>
      </c>
      <c r="H41" s="34" t="s">
        <v>72</v>
      </c>
      <c r="I41" s="34" t="s">
        <v>73</v>
      </c>
      <c r="J41" s="34" t="s">
        <v>74</v>
      </c>
      <c r="K41" s="26"/>
      <c r="L41" s="77"/>
      <c r="M41" s="77"/>
      <c r="N41" s="77"/>
    </row>
    <row r="42" spans="1:14" ht="17.25" customHeight="1" x14ac:dyDescent="0.2">
      <c r="A42" s="104" t="s">
        <v>48</v>
      </c>
      <c r="B42" s="105">
        <v>0</v>
      </c>
      <c r="C42" s="105">
        <v>0</v>
      </c>
      <c r="D42" s="105">
        <v>0</v>
      </c>
      <c r="E42" s="106">
        <v>0</v>
      </c>
      <c r="F42" s="106">
        <v>0</v>
      </c>
      <c r="G42" s="105">
        <v>0</v>
      </c>
      <c r="H42" s="105">
        <v>0</v>
      </c>
      <c r="I42" s="105">
        <v>0</v>
      </c>
      <c r="J42" s="105">
        <v>0</v>
      </c>
      <c r="K42" s="26"/>
    </row>
    <row r="43" spans="1:14" ht="17.25" customHeight="1" x14ac:dyDescent="0.2">
      <c r="A43" s="104" t="s">
        <v>49</v>
      </c>
      <c r="B43" s="105">
        <v>0</v>
      </c>
      <c r="C43" s="105">
        <v>0</v>
      </c>
      <c r="D43" s="105">
        <v>0</v>
      </c>
      <c r="E43" s="106">
        <v>0</v>
      </c>
      <c r="F43" s="106">
        <v>0</v>
      </c>
      <c r="G43" s="105">
        <v>0</v>
      </c>
      <c r="H43" s="105">
        <v>0</v>
      </c>
      <c r="I43" s="105">
        <v>0</v>
      </c>
      <c r="J43" s="105">
        <v>0</v>
      </c>
      <c r="K43" s="26"/>
    </row>
    <row r="44" spans="1:14" ht="17.25" customHeight="1" x14ac:dyDescent="0.2">
      <c r="A44" s="104" t="s">
        <v>50</v>
      </c>
      <c r="B44" s="105">
        <v>0</v>
      </c>
      <c r="C44" s="105">
        <v>0</v>
      </c>
      <c r="D44" s="105">
        <v>0</v>
      </c>
      <c r="E44" s="106">
        <v>0</v>
      </c>
      <c r="F44" s="106">
        <v>0</v>
      </c>
      <c r="G44" s="105">
        <v>0</v>
      </c>
      <c r="H44" s="105">
        <v>0</v>
      </c>
      <c r="I44" s="105">
        <v>0</v>
      </c>
      <c r="J44" s="105">
        <v>0</v>
      </c>
      <c r="K44" s="26"/>
    </row>
    <row r="45" spans="1:14" ht="17.25" customHeight="1" x14ac:dyDescent="0.2">
      <c r="A45" s="104" t="s">
        <v>51</v>
      </c>
      <c r="B45" s="105">
        <v>0</v>
      </c>
      <c r="C45" s="105">
        <v>0</v>
      </c>
      <c r="D45" s="105">
        <v>0</v>
      </c>
      <c r="E45" s="106">
        <v>0</v>
      </c>
      <c r="F45" s="106">
        <v>0</v>
      </c>
      <c r="G45" s="105">
        <v>0</v>
      </c>
      <c r="H45" s="105">
        <v>0</v>
      </c>
      <c r="I45" s="105">
        <v>0</v>
      </c>
      <c r="J45" s="105">
        <v>0</v>
      </c>
      <c r="K45" s="26"/>
    </row>
    <row r="46" spans="1:14" ht="17.25" customHeight="1" x14ac:dyDescent="0.2">
      <c r="A46" s="104" t="s">
        <v>52</v>
      </c>
      <c r="B46" s="105">
        <v>0</v>
      </c>
      <c r="C46" s="105">
        <v>0</v>
      </c>
      <c r="D46" s="105">
        <v>0</v>
      </c>
      <c r="E46" s="106">
        <v>0</v>
      </c>
      <c r="F46" s="106">
        <v>0</v>
      </c>
      <c r="G46" s="105">
        <v>0</v>
      </c>
      <c r="H46" s="105">
        <v>0</v>
      </c>
      <c r="I46" s="105">
        <v>0</v>
      </c>
      <c r="J46" s="105">
        <v>0</v>
      </c>
      <c r="K46" s="26"/>
    </row>
    <row r="47" spans="1:14" ht="17.25" customHeight="1" x14ac:dyDescent="0.2">
      <c r="A47" s="104" t="s">
        <v>53</v>
      </c>
      <c r="B47" s="105">
        <v>0</v>
      </c>
      <c r="C47" s="105">
        <v>0</v>
      </c>
      <c r="D47" s="105">
        <v>0</v>
      </c>
      <c r="E47" s="106">
        <v>0</v>
      </c>
      <c r="F47" s="106">
        <v>0</v>
      </c>
      <c r="G47" s="105">
        <v>0</v>
      </c>
      <c r="H47" s="105">
        <v>0</v>
      </c>
      <c r="I47" s="105">
        <v>0</v>
      </c>
      <c r="J47" s="105">
        <v>0</v>
      </c>
      <c r="K47" s="26"/>
    </row>
    <row r="48" spans="1:14" ht="17.25" customHeight="1" x14ac:dyDescent="0.2">
      <c r="A48" s="117" t="s">
        <v>46</v>
      </c>
      <c r="B48" s="118">
        <v>0</v>
      </c>
      <c r="C48" s="118">
        <v>0</v>
      </c>
      <c r="D48" s="118">
        <v>0</v>
      </c>
      <c r="E48" s="119">
        <v>0</v>
      </c>
      <c r="F48" s="119">
        <v>0</v>
      </c>
      <c r="G48" s="118">
        <v>0</v>
      </c>
      <c r="H48" s="118">
        <v>0</v>
      </c>
      <c r="I48" s="118">
        <v>0</v>
      </c>
      <c r="J48" s="120">
        <v>0</v>
      </c>
      <c r="K48" s="26"/>
    </row>
    <row r="49" spans="1:17" ht="17.25" customHeight="1" x14ac:dyDescent="0.2">
      <c r="A49" s="121" t="s">
        <v>204</v>
      </c>
      <c r="B49" s="122">
        <v>2408.6</v>
      </c>
      <c r="C49" s="122">
        <v>2505.5000000000005</v>
      </c>
      <c r="D49" s="123">
        <v>4</v>
      </c>
      <c r="E49" s="124">
        <v>3808</v>
      </c>
      <c r="F49" s="124">
        <v>3883</v>
      </c>
      <c r="G49" s="123">
        <v>2</v>
      </c>
      <c r="H49" s="122">
        <v>9172.1</v>
      </c>
      <c r="I49" s="122">
        <v>9729.5</v>
      </c>
      <c r="J49" s="125">
        <v>6.1</v>
      </c>
      <c r="K49" s="26"/>
    </row>
    <row r="50" spans="1:17" ht="13.5" customHeight="1" x14ac:dyDescent="0.2">
      <c r="A50" s="25" t="s">
        <v>55</v>
      </c>
      <c r="B50" s="25"/>
      <c r="C50" s="25"/>
      <c r="D50" s="25"/>
      <c r="E50" s="25"/>
      <c r="F50" s="25"/>
      <c r="G50" s="26"/>
      <c r="H50" s="26"/>
      <c r="I50" s="26"/>
      <c r="J50" s="26"/>
      <c r="K50" s="26"/>
    </row>
    <row r="51" spans="1:17" ht="13.5" customHeight="1" x14ac:dyDescent="0.2">
      <c r="A51" s="25" t="s">
        <v>7</v>
      </c>
      <c r="B51" s="25"/>
      <c r="C51" s="25"/>
      <c r="D51" s="25"/>
      <c r="E51" s="25"/>
      <c r="F51" s="25"/>
      <c r="G51" s="30"/>
      <c r="H51" s="26"/>
      <c r="I51" s="26"/>
      <c r="J51" s="26"/>
      <c r="K51" s="26"/>
    </row>
    <row r="52" spans="1:17" ht="20.25" customHeight="1" x14ac:dyDescent="0.2">
      <c r="A52" s="25" t="s">
        <v>212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</row>
    <row r="53" spans="1:17" ht="18" customHeight="1" x14ac:dyDescent="0.2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Q53" s="393" t="s">
        <v>178</v>
      </c>
    </row>
    <row r="54" spans="1:17" ht="19.5" hidden="1" customHeight="1" x14ac:dyDescent="0.2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</row>
    <row r="55" spans="1:17" ht="19.5" hidden="1" customHeight="1" x14ac:dyDescent="0.2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</row>
    <row r="56" spans="1:17" ht="19.5" hidden="1" customHeight="1" x14ac:dyDescent="0.2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</row>
    <row r="57" spans="1:17" ht="19.5" hidden="1" customHeight="1" x14ac:dyDescent="0.2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7" ht="19.5" hidden="1" customHeight="1" x14ac:dyDescent="0.2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</row>
    <row r="59" spans="1:17" ht="19.5" hidden="1" customHeight="1" x14ac:dyDescent="0.2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</row>
    <row r="60" spans="1:17" ht="19.5" hidden="1" customHeight="1" x14ac:dyDescent="0.2">
      <c r="A60" s="26"/>
    </row>
  </sheetData>
  <mergeCells count="8">
    <mergeCell ref="A5:A7"/>
    <mergeCell ref="B5:D5"/>
    <mergeCell ref="E5:G5"/>
    <mergeCell ref="H5:J5"/>
    <mergeCell ref="A39:A41"/>
    <mergeCell ref="B39:D39"/>
    <mergeCell ref="E39:G39"/>
    <mergeCell ref="H39:J39"/>
  </mergeCells>
  <printOptions gridLines="1"/>
  <pageMargins left="0.59027799999999997" right="0.39375000000000004" top="0.98402800000000012" bottom="0.9840280000000001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76</vt:i4>
      </vt:variant>
      <vt:variant>
        <vt:lpstr>Intervalos nomeados</vt:lpstr>
      </vt:variant>
      <vt:variant>
        <vt:i4>74</vt:i4>
      </vt:variant>
    </vt:vector>
  </HeadingPairs>
  <TitlesOfParts>
    <vt:vector size="150" baseType="lpstr">
      <vt:lpstr>Principal</vt:lpstr>
      <vt:lpstr>Área_Brasil</vt:lpstr>
      <vt:lpstr>Produtividade_Brasil</vt:lpstr>
      <vt:lpstr>Produção_Brasil</vt:lpstr>
      <vt:lpstr>Brasil total por UF</vt:lpstr>
      <vt:lpstr>Brasil - Total por Produto</vt:lpstr>
      <vt:lpstr>Algodao Total</vt:lpstr>
      <vt:lpstr>Algodao em Pluma</vt:lpstr>
      <vt:lpstr>Caroço de Algodão</vt:lpstr>
      <vt:lpstr>Algodão Rendimento</vt:lpstr>
      <vt:lpstr>Amendoim 1a</vt:lpstr>
      <vt:lpstr>Amendoim 2a</vt:lpstr>
      <vt:lpstr>Amendoim Total</vt:lpstr>
      <vt:lpstr>Arroz Irrigado</vt:lpstr>
      <vt:lpstr>Arroz Sequeiro</vt:lpstr>
      <vt:lpstr>Arroz Total</vt:lpstr>
      <vt:lpstr>Feijão 1a Cores</vt:lpstr>
      <vt:lpstr>Feijão 1a Preto</vt:lpstr>
      <vt:lpstr>Feijão 1a Caupi</vt:lpstr>
      <vt:lpstr>Feijão 1a Total</vt:lpstr>
      <vt:lpstr>Feijão 2a Cores</vt:lpstr>
      <vt:lpstr>Feijão 2a Preto</vt:lpstr>
      <vt:lpstr>Feijão 2a Caupi</vt:lpstr>
      <vt:lpstr>Feijão 2a Total</vt:lpstr>
      <vt:lpstr>Feijão 3a Cores</vt:lpstr>
      <vt:lpstr>Feijão 3a Preto</vt:lpstr>
      <vt:lpstr>Feijão 3a Caupi</vt:lpstr>
      <vt:lpstr>Feijão 3a Total</vt:lpstr>
      <vt:lpstr>Feijão Cores Total</vt:lpstr>
      <vt:lpstr>Feijão Preto Total</vt:lpstr>
      <vt:lpstr>Feijão Caupi Total</vt:lpstr>
      <vt:lpstr>Feijão Total</vt:lpstr>
      <vt:lpstr>Gergelim</vt:lpstr>
      <vt:lpstr>Girassol</vt:lpstr>
      <vt:lpstr>Mamona</vt:lpstr>
      <vt:lpstr>Milho 1a</vt:lpstr>
      <vt:lpstr>Milho 2a</vt:lpstr>
      <vt:lpstr>Milho 3a</vt:lpstr>
      <vt:lpstr>Milho Total</vt:lpstr>
      <vt:lpstr>Soja</vt:lpstr>
      <vt:lpstr>Sorgo</vt:lpstr>
      <vt:lpstr>Aveia</vt:lpstr>
      <vt:lpstr>Canola</vt:lpstr>
      <vt:lpstr>Centeio</vt:lpstr>
      <vt:lpstr>Cevada</vt:lpstr>
      <vt:lpstr>Trigo</vt:lpstr>
      <vt:lpstr>Triticale</vt:lpstr>
      <vt:lpstr>Suprimento</vt:lpstr>
      <vt:lpstr>Suprimento - Soja</vt:lpstr>
      <vt:lpstr>AC</vt:lpstr>
      <vt:lpstr>AL</vt:lpstr>
      <vt:lpstr>AM</vt:lpstr>
      <vt:lpstr>AP</vt:lpstr>
      <vt:lpstr>BA</vt:lpstr>
      <vt:lpstr>CE</vt:lpstr>
      <vt:lpstr>DF</vt:lpstr>
      <vt:lpstr>ES</vt:lpstr>
      <vt:lpstr>GO</vt:lpstr>
      <vt:lpstr>MA</vt:lpstr>
      <vt:lpstr>MG</vt:lpstr>
      <vt:lpstr>MS</vt:lpstr>
      <vt:lpstr>MT</vt:lpstr>
      <vt:lpstr>PA</vt:lpstr>
      <vt:lpstr>PB</vt:lpstr>
      <vt:lpstr>PE</vt:lpstr>
      <vt:lpstr>PI</vt:lpstr>
      <vt:lpstr>PR</vt:lpstr>
      <vt:lpstr>RJ</vt:lpstr>
      <vt:lpstr>RN</vt:lpstr>
      <vt:lpstr>RO</vt:lpstr>
      <vt:lpstr>RR</vt:lpstr>
      <vt:lpstr>RS</vt:lpstr>
      <vt:lpstr>SC</vt:lpstr>
      <vt:lpstr>SE</vt:lpstr>
      <vt:lpstr>SP</vt:lpstr>
      <vt:lpstr>TO</vt:lpstr>
      <vt:lpstr>AC!Area_de_impressao</vt:lpstr>
      <vt:lpstr>AL!Area_de_impressao</vt:lpstr>
      <vt:lpstr>'Algodao em Pluma'!Area_de_impressao</vt:lpstr>
      <vt:lpstr>'Algodão Rendimento'!Area_de_impressao</vt:lpstr>
      <vt:lpstr>'Algodao Total'!Area_de_impressao</vt:lpstr>
      <vt:lpstr>AM!Area_de_impressao</vt:lpstr>
      <vt:lpstr>'Amendoim 1a'!Area_de_impressao</vt:lpstr>
      <vt:lpstr>'Amendoim 2a'!Area_de_impressao</vt:lpstr>
      <vt:lpstr>'Amendoim Total'!Area_de_impressao</vt:lpstr>
      <vt:lpstr>AP!Area_de_impressao</vt:lpstr>
      <vt:lpstr>Área_Brasil!Area_de_impressao</vt:lpstr>
      <vt:lpstr>'Arroz Irrigado'!Area_de_impressao</vt:lpstr>
      <vt:lpstr>'Arroz Sequeiro'!Area_de_impressao</vt:lpstr>
      <vt:lpstr>'Arroz Total'!Area_de_impressao</vt:lpstr>
      <vt:lpstr>Aveia!Area_de_impressao</vt:lpstr>
      <vt:lpstr>BA!Area_de_impressao</vt:lpstr>
      <vt:lpstr>'Brasil - Total por Produto'!Area_de_impressao</vt:lpstr>
      <vt:lpstr>'Brasil total por UF'!Area_de_impressao</vt:lpstr>
      <vt:lpstr>Canola!Area_de_impressao</vt:lpstr>
      <vt:lpstr>'Caroço de Algodão'!Area_de_impressao</vt:lpstr>
      <vt:lpstr>CE!Area_de_impressao</vt:lpstr>
      <vt:lpstr>Centeio!Area_de_impressao</vt:lpstr>
      <vt:lpstr>Cevada!Area_de_impressao</vt:lpstr>
      <vt:lpstr>DF!Area_de_impressao</vt:lpstr>
      <vt:lpstr>ES!Area_de_impressao</vt:lpstr>
      <vt:lpstr>'Feijão 1a Caupi'!Area_de_impressao</vt:lpstr>
      <vt:lpstr>'Feijão 1a Cores'!Area_de_impressao</vt:lpstr>
      <vt:lpstr>'Feijão 1a Preto'!Area_de_impressao</vt:lpstr>
      <vt:lpstr>'Feijão 1a Total'!Area_de_impressao</vt:lpstr>
      <vt:lpstr>'Feijão 2a Caupi'!Area_de_impressao</vt:lpstr>
      <vt:lpstr>'Feijão 2a Cores'!Area_de_impressao</vt:lpstr>
      <vt:lpstr>'Feijão 2a Preto'!Area_de_impressao</vt:lpstr>
      <vt:lpstr>'Feijão 2a Total'!Area_de_impressao</vt:lpstr>
      <vt:lpstr>'Feijão 3a Caupi'!Area_de_impressao</vt:lpstr>
      <vt:lpstr>'Feijão 3a Cores'!Area_de_impressao</vt:lpstr>
      <vt:lpstr>'Feijão 3a Preto'!Area_de_impressao</vt:lpstr>
      <vt:lpstr>'Feijão 3a Total'!Area_de_impressao</vt:lpstr>
      <vt:lpstr>'Feijão Caupi Total'!Area_de_impressao</vt:lpstr>
      <vt:lpstr>'Feijão Cores Total'!Area_de_impressao</vt:lpstr>
      <vt:lpstr>'Feijão Preto Total'!Area_de_impressao</vt:lpstr>
      <vt:lpstr>'Feijão Total'!Area_de_impressao</vt:lpstr>
      <vt:lpstr>Gergelim!Area_de_impressao</vt:lpstr>
      <vt:lpstr>Girassol!Area_de_impressao</vt:lpstr>
      <vt:lpstr>GO!Area_de_impressao</vt:lpstr>
      <vt:lpstr>MA!Area_de_impressao</vt:lpstr>
      <vt:lpstr>Mamona!Area_de_impressao</vt:lpstr>
      <vt:lpstr>MG!Area_de_impressao</vt:lpstr>
      <vt:lpstr>'Milho 1a'!Area_de_impressao</vt:lpstr>
      <vt:lpstr>'Milho 2a'!Area_de_impressao</vt:lpstr>
      <vt:lpstr>'Milho 3a'!Area_de_impressao</vt:lpstr>
      <vt:lpstr>'Milho Total'!Area_de_impressao</vt:lpstr>
      <vt:lpstr>MS!Area_de_impressao</vt:lpstr>
      <vt:lpstr>MT!Area_de_impressao</vt:lpstr>
      <vt:lpstr>PA!Area_de_impressao</vt:lpstr>
      <vt:lpstr>PB!Area_de_impressao</vt:lpstr>
      <vt:lpstr>PE!Area_de_impressao</vt:lpstr>
      <vt:lpstr>PI!Area_de_impressao</vt:lpstr>
      <vt:lpstr>PR!Area_de_impressao</vt:lpstr>
      <vt:lpstr>Produção_Brasil!Area_de_impressao</vt:lpstr>
      <vt:lpstr>Produtividade_Brasil!Area_de_impressao</vt:lpstr>
      <vt:lpstr>RJ!Area_de_impressao</vt:lpstr>
      <vt:lpstr>RN!Area_de_impressao</vt:lpstr>
      <vt:lpstr>RO!Area_de_impressao</vt:lpstr>
      <vt:lpstr>RR!Area_de_impressao</vt:lpstr>
      <vt:lpstr>RS!Area_de_impressao</vt:lpstr>
      <vt:lpstr>SC!Area_de_impressao</vt:lpstr>
      <vt:lpstr>SE!Area_de_impressao</vt:lpstr>
      <vt:lpstr>Soja!Area_de_impressao</vt:lpstr>
      <vt:lpstr>Sorgo!Area_de_impressao</vt:lpstr>
      <vt:lpstr>SP!Area_de_impressao</vt:lpstr>
      <vt:lpstr>Suprimento!Area_de_impressao</vt:lpstr>
      <vt:lpstr>TO!Area_de_impressao</vt:lpstr>
      <vt:lpstr>Trigo!Area_de_impressao</vt:lpstr>
      <vt:lpstr>Triticale!Area_de_impressao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PEDRO MULLER METSAVAHT SALOMAO</cp:lastModifiedBy>
  <cp:revision>12</cp:revision>
  <dcterms:created xsi:type="dcterms:W3CDTF">2022-04-28T21:19:21Z</dcterms:created>
  <dcterms:modified xsi:type="dcterms:W3CDTF">2026-10-06T19:33:37Z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2025-11-07T12:50:42Z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fb08cd20-8491-4509-82c4-b9b95a2f7afd</vt:lpwstr>
  </property>
  <property fmtid="{D5CDD505-2E9C-101B-9397-08002B2CF9AE}" pid="7" name="MSIP_Label_defa4170-0d19-0005-0004-bc88714345d2_ActionId">
    <vt:lpwstr>90e8b553-441a-4610-841c-27d805ddc172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